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Defects'!$A$1:$J$28</definedName>
    <definedName function="false" hidden="false" localSheetId="1" name="_xlnm.Print_Titles" vbProcedure="false">'Test Cases'!$1:$1</definedName>
    <definedName function="false" hidden="true" localSheetId="1" name="_xlnm._FilterDatabase" vbProcedure="false">'Test Cases'!$A$1:$S$84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<sst xmlns="http://schemas.openxmlformats.org/spreadsheetml/2006/main" count="2024" uniqueCount="880">
  <si>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</si>
  <si>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</si>
  <si>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</si>
  <si>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</si>
  <si>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</si>
  <si>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</si>
  <si>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</si>
  <si>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</si>
  <si>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1.6 (20-Oct-2026)</t>
  </si>
  <si>
    <t xml:space="preserve">Execution environment</t>
  </si>
  <si>
    <t xml:space="preserve">Manual: Chromium – desktop, 19-Oct-2026. Automated: Chromium, Firefox, WebKit, Pixel 7 emulation and API, 20-Oct-2026.</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</si>
  <si>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</si>
  <si>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</si>
  <si>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</si>
  <si>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</si>
  <si>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</si>
  <si>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</si>
  <si>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</si>
  <si>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</si>
  <si>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</si>
  <si>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</si>
  <si>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</si>
  <si>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</si>
  <si>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</si>
  <si>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</si>
  <si>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</si>
  <si>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</si>
  <si>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</si>
  <si>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</si>
  <si>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</si>
  <si>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</si>
  <si>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</si>
  <si>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</si>
  <si>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</si>
  <si>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</si>
  <si>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</si>
  <si>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</si>
  <si>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</si>
  <si>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</si>
  <si>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</si>
  <si>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</si>
  <si>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</si>
  <si>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</si>
  <si>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</si>
  <si>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</si>
  <si>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</si>
  <si>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</si>
  <si>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</si>
  <si>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</si>
  <si>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</si>
  <si>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</si>
  <si>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</si>
  <si>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</si>
  <si>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</si>
  <si>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</si>
  <si>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</si>
  <si>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</si>
  <si>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</si>
  <si>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</si>
  <si>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</si>
  <si>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</si>
  <si>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</si>
  <si>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</si>
  <si>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</si>
  <si>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</si>
  <si>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</si>
  <si>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</si>
  <si>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</si>
  <si>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</si>
  <si>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</si>
  <si>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</si>
  <si>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</si>
  <si>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</si>
  <si>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</si>
  <si>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</si>
  <si>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</si>
  <si>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</si>
  <si>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</si>
  <si>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</si>
  <si>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</si>
  <si>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</si>
  <si>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</si>
  <si>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Revision history</t>
  </si>
  <si>
    <t xml:space="preserve">Date</t>
  </si>
  <si>
    <t xml:space="preserve">Change</t>
  </si>
  <si>
    <t xml:space="preserve">1.0</t>
  </si>
  <si>
    <t xml:space="preserve">19-Oct-2026</t>
  </si>
  <si>
    <t xml:space="preserve">Initial suite (69 cases); first execution on Chromium.</t>
  </si>
  <si>
    <t xml:space="preserve">1.1</t>
  </si>
  <si>
    <t xml:space="preserve">20-Oct-2026</t>
  </si>
  <si>
    <t xml:space="preserve">Review fixes: split compound cases, made expected results deterministic, made steps self-contained and cases independent, separated Test Type from Technique, added Requirement Basis, renumbered by feature, added 13 coverage gaps (lockout, mobile, cart isolation, performance, etc.).</t>
  </si>
  <si>
    <t xml:space="preserve">1.2</t>
  </si>
  <si>
    <t xml:space="preserve">Automation decision recorded: 32 cases automated in the Playwright framework (6 as known-defect tests), with spec file per case; remaining cases marked Backlog or Manual with the reason.</t>
  </si>
  <si>
    <t xml:space="preserve">1.3</t>
  </si>
  <si>
    <t xml:space="preserve">First full automated run on the live site found a new critical defect (PD-22: guests landing on a product page share one cart); added CRT-049. LGN-022 updated: DemoBlaze's mobile menu never collapses.</t>
  </si>
  <si>
    <t xml:space="preserve">1.4</t>
  </si>
  <si>
    <t xml:space="preserve">Test cases aligned with the automation scripts (steps, data, preconditions, expected results); automated results (88/88 on 20-Oct-2026) recorded per test case.</t>
  </si>
  <si>
    <t xml:space="preserve">1.5</t>
  </si>
  <si>
    <t xml:space="preserve">27 more cases automated (60 in total; only CRT-011 stays manual among the previously not-run cases). Full run of 167 tests passed, 17 cases failing as expected; 5 new potential defects (PD-23 to PD-27).</t>
  </si>
  <si>
    <t xml:space="preserve">1.6</t>
  </si>
  <si>
    <t xml:space="preserve">Automated runs now keep evidence for every known defect (screenshot + video, or API log) in reports/evidence/; new 'Automated evidence' column in Potential Defects. Firefox start-up race fixed at source (no retry).</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</si>
  <si>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</si>
  <si>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</si>
  <si>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</si>
  <si>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</si>
  <si>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</si>
  <si>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</si>
  <si>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</si>
  <si>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</si>
  <si>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</si>
  <si>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</si>
  <si>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</si>
  <si>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</si>
  <si>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</si>
  <si>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</si>
  <si>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</si>
  <si>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</si>
  <si>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</si>
  <si>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</si>
  <si>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</si>
  <si>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</si>
  <si>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'Sign up successful.' shown; the new account logged in.</t>
  </si>
  <si>
    <t xml:space="preserve">Automated: Chromium, Firefox, WebKit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</si>
  <si>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</si>
  <si>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</si>
  <si>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</si>
  <si>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</si>
  <si>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</si>
  <si>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</si>
  <si>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</si>
  <si>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'This user already exist.' shown; the existing account's password still works.</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</si>
  <si>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</si>
  <si>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</si>
  <si>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</si>
  <si>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</si>
  <si>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</si>
  <si>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Modal 'Log in' with Username, masked Password, Close and Log in.</t>
  </si>
  <si>
    <t xml:space="preserve">tests/ui/auth/login.spec.ts</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</si>
  <si>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</si>
  <si>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</si>
  <si>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</si>
  <si>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
(Automation: throwaway account per worker by default; USER_STRATEGY=env uses {VALID_USER})</t>
  </si>
  <si>
    <t xml:space="preserve">Modal closes. Navbar shows 'Welcome {VALID_USER}' and 'Log out'; 'Log in' and 'Sign up' are hidden.</t>
  </si>
  <si>
    <t xml:space="preserve">'Welcome &lt;user&gt;' shown; Log in / Sign up hidden. (Also passed manually on 19-Oct with qa_sy_01.)</t>
  </si>
  <si>
    <t xml:space="preserve">Automated: Chromium, Firefox, WebKit, Pixel 7</t>
  </si>
  <si>
    <t xml:space="preserve">LGN-005</t>
  </si>
  <si>
    <t xml:space="preserve">Verify logging in from the Cart page keeps the user on the Cart page</t>
  </si>
  <si>
    <t xml:space="preserve">Account {VALID_USER} exists; user is logged out. {VALID_USER}'s cart has 1 item.</t>
  </si>
  <si>
    <t xml:space="preserve">1. Go to {BASE_URL}/cart.html.
2. Click 'Log in'.
3. Enter {VALID_USER} and {VALID_PASSWORD}.
4. Click 'Log in'.</t>
  </si>
  <si>
    <t xml:space="preserve">Username: {VALID_USER}
Password: {VALID_PASSWORD}</t>
  </si>
  <si>
    <t xml:space="preserve">Page reloads on cart.html, shows 'Welcome {VALID_USER}' and lists {VALID_USER}'s cart item.</t>
  </si>
  <si>
    <t xml:space="preserve">Page reloaded on cart.html with 'Welcome &lt;user&gt;' and the user's cart item listed.</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</si>
  <si>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</si>
  <si>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</si>
  <si>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</si>
  <si>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</si>
  <si>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</si>
  <si>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'Wrong password.' shown; modal stayed open; user stayed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</si>
  <si>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</si>
  <si>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</si>
  <si>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</si>
  <si>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</si>
  <si>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</si>
  <si>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'User does not exist.' shown; user stayed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</si>
  <si>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</si>
  <si>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</si>
  <si>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</si>
  <si>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</si>
  <si>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</si>
  <si>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'Please fill out Username and Password.' shown; no /login request sent.</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</si>
  <si>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</si>
  <si>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</si>
  <si>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</si>
  <si>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</si>
  <si>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No POST /login request is sent.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</si>
  <si>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</si>
  <si>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</si>
  <si>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</si>
  <si>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</si>
  <si>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</si>
  <si>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</si>
  <si>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</si>
  <si>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</si>
  <si>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</si>
  <si>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Fails as expected (PD-05): spaces-only input was sent to the server instead of being blocked.</t>
  </si>
  <si>
    <t xml:space="preserve">PD-05</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</si>
  <si>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</si>
  <si>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</si>
  <si>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</si>
  <si>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</si>
  <si>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</si>
  <si>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Fails as expected (PD-26): ' &lt;username&gt; ' with spaces gave 'User does not exist.'</t>
  </si>
  <si>
    <t xml:space="preserve">PD-26</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</si>
  <si>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</si>
  <si>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</si>
  <si>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</si>
  <si>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</si>
  <si>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</si>
  <si>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Fails as expected (PD-27): username in upper case gave 'User does not exist.'</t>
  </si>
  <si>
    <t xml:space="preserve">PD-27</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</si>
  <si>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</si>
  <si>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</si>
  <si>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</si>
  <si>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</si>
  <si>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</si>
  <si>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Password with inverted case gave 'Wrong password.'</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</si>
  <si>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</si>
  <si>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</si>
  <si>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</si>
  <si>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</si>
  <si>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</si>
  <si>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r>
      <rPr>
        <sz val="10"/>
        <rFont val="Arial"/>
        <family val="0"/>
        <charset val="1"/>
      </rPr>
      <t xml:space="preserve">Signed up and logged in with password 'Pässwörd_#$%_</t>
    </r>
    <r>
      <rPr>
        <sz val="10"/>
        <rFont val="Noto Sans CJK SC"/>
        <family val="2"/>
      </rPr>
      <t xml:space="preserve">密码</t>
    </r>
    <r>
      <rPr>
        <sz val="10"/>
        <rFont val="Arial"/>
        <family val="0"/>
        <charset val="1"/>
      </rPr>
      <t xml:space="preserve">'.</t>
    </r>
  </si>
  <si>
    <t xml:space="preserve">LGN-016</t>
  </si>
  <si>
    <t xml:space="preserve">Verify a 300-character username is handled without errors</t>
  </si>
  <si>
    <t xml:space="preserve">1. Go to {BASE_URL}.
2. Click 'Log in'.
3. Enter a 300-character username and the password below.
4. Click 'Log in'.</t>
  </si>
  <si>
    <t xml:space="preserve">Username: unique 300-character value (qa_long_&lt;timestamp&gt; padded with 'a')
Password: Test@1234</t>
  </si>
  <si>
    <t xml:space="preserve">Alert 'User does not exist.' is shown. No JavaScript error in the Console; the page stays usable.</t>
  </si>
  <si>
    <t xml:space="preserve">Unique 300-character username: 'User does not exist.', no JavaScript errors. Note: the username 'a' x 300 is already registered by someone, so sign-up accepts 300-character usernames.</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</si>
  <si>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</si>
  <si>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</si>
  <si>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</si>
  <si>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</si>
  <si>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Login is rejected with an error alert and the user remains logged out (no bypass, no server error).</t>
  </si>
  <si>
    <t xml:space="preserve">Injection string rejected with a normal login error; user stayed logged out.</t>
  </si>
  <si>
    <t xml:space="preserve">tests/security/login-security.spec.ts</t>
  </si>
  <si>
    <t xml:space="preserve">LGN-018</t>
  </si>
  <si>
    <t xml:space="preserve">Verify repeated failed logins trigger a lockout or rate limit</t>
  </si>
  <si>
    <t xml:space="preserve">A dedicated test account exists (automation uses a throwaway account, so a lockout affects no one else); user is logged out.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</si>
  <si>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</si>
  <si>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</si>
  <si>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Fails as expected (PD-25): the 10th consecutive wrong password still returned 'Wrong password.' – no lockout or rate limit.</t>
  </si>
  <si>
    <t xml:space="preserve">PD-25</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</si>
  <si>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</si>
  <si>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</si>
  <si>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</si>
  <si>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</si>
  <si>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Fails as expected (PD-23): double-click sent two POST /login requests.</t>
  </si>
  <si>
    <t xml:space="preserve">PD-23</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</si>
  <si>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</si>
  <si>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</si>
  <si>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</si>
  <si>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</si>
  <si>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Fails as expected (PD-10): Enter in the Password field did not submit the form.</t>
  </si>
  <si>
    <t xml:space="preserve">PD-10</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</si>
  <si>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</si>
  <si>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</si>
  <si>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</si>
  <si>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</si>
  <si>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</si>
  <si>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Fails as expected (PD-11): reopened Login modal still contained the typed values.</t>
  </si>
  <si>
    <t xml:space="preserve">PD-11</t>
  </si>
  <si>
    <t xml:space="preserve">LGN-022</t>
  </si>
  <si>
    <t xml:space="preserve">Verify login works at mobile width</t>
  </si>
  <si>
    <t xml:space="preserve">Account {VALID_USER} exists; user is logged out. Mobile emulation: Pixel 7 (412 x 915).</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</si>
  <si>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</si>
  <si>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</si>
  <si>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Menu toggle shown; logged in from the mobile menu; 'Welcome' and 'Log out' shown.</t>
  </si>
  <si>
    <t xml:space="preserve">Automated: Pixel 7 (mobile Chromium)</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</si>
  <si>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</si>
  <si>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</si>
  <si>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</si>
  <si>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</si>
  <si>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</si>
  <si>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</si>
  <si>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Still 'Welcome &lt;user&gt;' after refresh.</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</si>
  <si>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</si>
  <si>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</si>
  <si>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</si>
  <si>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</si>
  <si>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</si>
  <si>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</si>
  <si>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Chromium – desktop</t>
  </si>
  <si>
    <t xml:space="preserve">Automatable – lower priority for the demo; next sprint</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</si>
  <si>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</si>
  <si>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</si>
  <si>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</si>
  <si>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</si>
  <si>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</si>
  <si>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Alert 'Bad parameter, token malformed.'; navbar returned to the logged-out state.</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</si>
  <si>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</si>
  <si>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</si>
  <si>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</si>
  <si>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</si>
  <si>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Fails as expected (PD-18): token decodes to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</si>
  <si>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</si>
  <si>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</si>
  <si>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</si>
  <si>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</si>
  <si>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</si>
  <si>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</si>
  <si>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Fails as expected (PD-08): tokenp_ is set without Secure/HttpOnly.</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</si>
  <si>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</si>
  <si>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</si>
  <si>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</si>
  <si>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</si>
  <si>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</si>
  <si>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POST https://api.demoblaze.com/login (HTTPS).</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</si>
  <si>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</si>
  <si>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</si>
  <si>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</si>
  <si>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</si>
  <si>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Fails as expected (PD-07): request body contains the password Base64-encoded.</t>
  </si>
  <si>
    <t xml:space="preserve">PD-07</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</si>
  <si>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</si>
  <si>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</si>
  <si>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</si>
  <si>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</si>
  <si>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</si>
  <si>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Returned to Home with logged-out navbar; tokenp_ cookie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</si>
  <si>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</si>
  <si>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</si>
  <si>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</si>
  <si>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</si>
  <si>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Back + refresh after logout showed the logged-out navbar.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</si>
  <si>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</si>
  <si>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</si>
  <si>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</si>
  <si>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</si>
  <si>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</si>
  <si>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</si>
  <si>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HTTP 200; body 'Auth_token: &lt;token&gt;'.</t>
  </si>
  <si>
    <t xml:space="preserve">Automated: API</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</si>
  <si>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</si>
  <si>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</si>
  <si>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</si>
  <si>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</si>
  <si>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</si>
  <si>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Body {"errorMessage": "Wrong password."}; no token.</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</si>
  <si>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</si>
  <si>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</si>
  <si>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</si>
  <si>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</si>
  <si>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</si>
  <si>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Fails as expected (PD-19): HTTP 200 + errorMessage instead of 401.</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</si>
  <si>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</si>
  <si>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</si>
  <si>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</si>
  <si>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</si>
  <si>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</si>
  <si>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</si>
  <si>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</si>
  <si>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</si>
  <si>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</si>
  <si>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</si>
  <si>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</si>
  <si>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</si>
  <si>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</si>
  <si>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</si>
  <si>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</si>
  <si>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</si>
  <si>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</si>
  <si>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</si>
  <si>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</si>
  <si>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</si>
  <si>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</si>
  <si>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</si>
  <si>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</si>
  <si>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</si>
  <si>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</si>
  <si>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</si>
  <si>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</si>
  <si>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</si>
  <si>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</si>
  <si>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</si>
  <si>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</si>
  <si>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</si>
  <si>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</si>
  <si>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</si>
  <si>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Laptops filter showed only laptops; Sony vaio i5 added; cart 1 row at 790.</t>
  </si>
  <si>
    <t xml:space="preserve">tests/ui/cart/add-to-cart.spec.ts</t>
  </si>
  <si>
    <t xml:space="preserve">CRT-006</t>
  </si>
  <si>
    <t xml:space="preserve">Add to cart</t>
  </si>
  <si>
    <t xml:space="preserve">Verify a logged-in user can add a product to the cart</t>
  </si>
  <si>
    <t xml:space="preserve">1. Go to {BASE_URL}.
2. Click 'Samsung galaxy s6'.
3. Click 'Add to cart'.
4. Accept the alert.
5. Click 'Cart'.</t>
  </si>
  <si>
    <t xml:space="preserve">Product: Samsung galaxy s6 ($360)</t>
  </si>
  <si>
    <t xml:space="preserve">Alert 'Product added.' is shown. Cart has one 'Samsung galaxy s6' row at 360; Total is 360.</t>
  </si>
  <si>
    <t xml:space="preserve">'Product added.'; one Samsung galaxy s6 row at 360; Total 360.</t>
  </si>
  <si>
    <t xml:space="preserve">PD-06</t>
  </si>
  <si>
    <t xml:space="preserve">CRT-007</t>
  </si>
  <si>
    <t xml:space="preserve">Verify a guest can add a product to the cart</t>
  </si>
  <si>
    <t xml:space="preserve">User is logged out; the journey starts on the Home page (where DemoBlaze creates the guest id).</t>
  </si>
  <si>
    <t xml:space="preserve">1. Go to {BASE_URL}.
2. Click 'Nokia lumia 1520'.
3. Click 'Add to cart'.
4. Accept the alert.
5. Click 'Cart'.</t>
  </si>
  <si>
    <t xml:space="preserve">Product: Nokia lumia 1520 ($820)</t>
  </si>
  <si>
    <t xml:space="preserve">An alert confirms the product was added. Cart has one 'Nokia lumia 1520' row at 820; Total is 820. (Guest alert wording differs from the logged-in text – tracked as PD-06, not part of this check.)</t>
  </si>
  <si>
    <t xml:space="preserve">Item reached the guest's own cart (1 row, 820). Alert wording not asserted (PD-06).</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</si>
  <si>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</si>
  <si>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</si>
  <si>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</si>
  <si>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</si>
  <si>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</si>
  <si>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Both rows listed with their prices; Total 1180.</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</si>
  <si>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</si>
  <si>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</si>
  <si>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</si>
  <si>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</si>
  <si>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</si>
  <si>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</si>
  <si>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</si>
  <si>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</si>
  <si>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</si>
  <si>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</si>
  <si>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</si>
  <si>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but only 'Nokia lumia 1520' was saved (1 row, Total 820). Not reproduced on later runs.</t>
  </si>
  <si>
    <t xml:space="preserve">PD-14</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</si>
  <si>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</si>
  <si>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</si>
  <si>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</si>
  <si>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</si>
  <si>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</si>
  <si>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Result depends on the intermittent lost-items defect (PD-14), so an automated test would pass or fail at random</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</si>
  <si>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</si>
  <si>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</si>
  <si>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</si>
  <si>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</si>
  <si>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</si>
  <si>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</si>
  <si>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</si>
  <si>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</si>
  <si>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</si>
  <si>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</si>
  <si>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</si>
  <si>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</si>
  <si>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</si>
  <si>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row removed, Nokia kept; Total 1180 -&gt; 820.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</si>
  <si>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</si>
  <si>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</si>
  <si>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</si>
  <si>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</si>
  <si>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</si>
  <si>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</si>
  <si>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Both items deleted one by one; cart table empty.</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</si>
  <si>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</si>
  <si>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</si>
  <si>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</si>
  <si>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</si>
  <si>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</si>
  <si>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</si>
  <si>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</si>
  <si>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</si>
  <si>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</si>
  <si>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</si>
  <si>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</si>
  <si>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10 rows listed; Total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</si>
  <si>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</si>
  <si>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</si>
  <si>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</si>
  <si>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</si>
  <si>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</si>
  <si>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</si>
  <si>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</si>
  <si>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</si>
  <si>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</si>
  <si>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</si>
  <si>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</si>
  <si>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No horizontal scrolling; rows, Total and Place Order visible; modal fields usable; Purchase and Close in view.</t>
  </si>
  <si>
    <t xml:space="preserve">CRT-019</t>
  </si>
  <si>
    <t xml:space="preserve">Verify the Cart page loads within 3 seconds</t>
  </si>
  <si>
    <t xml:space="preserve">Logged in as {VALID_USER}; cart has 5 items; broadband connection.</t>
  </si>
  <si>
    <t xml:space="preserve">1. Go to {BASE_URL}/cart.html and start timing.
2. Stop timing when all rows and the Total are displayed.</t>
  </si>
  <si>
    <t xml:space="preserve">All rows and the Total are displayed within 3 seconds.</t>
  </si>
  <si>
    <t xml:space="preserve">Cart ready in 2803 ms with 5 items (budget 3000 ms) in the latest run; 2957 ms the run before. Little headroom: the cart calls /view once per item, so load time grows with cart size.</t>
  </si>
  <si>
    <t xml:space="preserve">Automated: Chromium (perf)</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</si>
  <si>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</si>
  <si>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</si>
  <si>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</si>
  <si>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</si>
  <si>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</si>
  <si>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</si>
  <si>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</si>
  <si>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Item still in the cart after logging out and back in.</t>
  </si>
  <si>
    <t xml:space="preserve">tests/ui/cart/cart-persistence.spec.ts</t>
  </si>
  <si>
    <t xml:space="preserve">CRT-021</t>
  </si>
  <si>
    <t xml:space="preserve">Verify a user's cart is not shown after logout</t>
  </si>
  <si>
    <t xml:space="preserve">1. Go to {BASE_URL}.
2. Click 'Log out'.
3. Click 'Cart'.</t>
  </si>
  <si>
    <t xml:space="preserve">None of {VALID_USER}'s items are shown in the guest cart.</t>
  </si>
  <si>
    <t xml:space="preserve">Guest cart after logout was empty.</t>
  </si>
  <si>
    <t xml:space="preserve">CRT-022</t>
  </si>
  <si>
    <t xml:space="preserve">Verify a user cannot see another user's cart items</t>
  </si>
  <si>
    <t xml:space="preserve">{VALID_USER}'s cart has Samsung galaxy s6. A second account {USER_B} exists with an empty cart (automation creates it). User is logged out.</t>
  </si>
  <si>
    <t xml:space="preserve">1. Go to {BASE_URL}.
2. Log in as {USER_B}.
3. Click 'Cart'.</t>
  </si>
  <si>
    <t xml:space="preserve">Username: {USER_B}
Password: {USER_B_PASSWORD}</t>
  </si>
  <si>
    <t xml:space="preserve">{USER_B}'s cart is empty; no items from {VALID_USER} are shown.</t>
  </si>
  <si>
    <t xml:space="preserve">Second user's cart was empty; user A's item not visible.</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</si>
  <si>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</si>
  <si>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</si>
  <si>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</si>
  <si>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</si>
  <si>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</si>
  <si>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</si>
  <si>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Fails as expected (PD-09): item added as a guest was not in the cart after login.</t>
  </si>
  <si>
    <t xml:space="preserve">PD-09</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</si>
  <si>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</si>
  <si>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</si>
  <si>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</si>
  <si>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</si>
  <si>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</si>
  <si>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</si>
  <si>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all 6 fields, Close and Purchase.</t>
  </si>
  <si>
    <t xml:space="preserve">tests/ui/checkout/place-order.spec.ts</t>
  </si>
  <si>
    <t xml:space="preserve">CRT-025</t>
  </si>
  <si>
    <t xml:space="preserve">Verify a logged-in user can place an order with valid details</t>
  </si>
  <si>
    <t xml:space="preserve">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</si>
  <si>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 xml:space="preserve">Products: Samsung galaxy s6, Nokia lumia 1520
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</si>
  <si>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</si>
  <si>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Full UI journey: cart Total 1180; modal 'Total: 1180'; receipt 'Amount: 1180 USD', card and name as entered; OK returned to Home.</t>
  </si>
  <si>
    <t xml:space="preserve">PD-12</t>
  </si>
  <si>
    <t xml:space="preserve">CRT-026</t>
  </si>
  <si>
    <t xml:space="preserve">Verify the cart is empty after a successful order</t>
  </si>
  <si>
    <t xml:space="preserve">1. Go to {BASE_URL}.
2. Click 'Cart' in the navbar.
3. Click 'Place Order'.
4. Fill all fields with the test data and click 'Purchase'.
5. Click 'OK'.
6. Click 'Cart'.</t>
  </si>
  <si>
    <t xml:space="preserve">Name: Wong Test
Country: Malaysia
City: Kuala Lumpur
Card: 4111111111111111
Month: 10
Year: 2027</t>
  </si>
  <si>
    <t xml:space="preserve">The cart table has no rows, and the server-side cart (/viewcart) is empty.</t>
  </si>
  <si>
    <t xml:space="preserve">Cart empty on the server and in the UI after purchase.</t>
  </si>
  <si>
    <t xml:space="preserve">CRT-027</t>
  </si>
  <si>
    <t xml:space="preserve">Verify the confirmation shows today's date</t>
  </si>
  <si>
    <t xml:space="preserve">1. Go to {BASE_URL}.
2. Click 'Cart' in the navbar.
3. Click 'Place Order'.
4. Fill all fields with the test data and click 'Purchase'.
5. Read the 'Date' line on the confirmation.</t>
  </si>
  <si>
    <t xml:space="preserve">Name: Wong Test
Country: Malaysia
City: Kuala Lumpur
Card: 4111111111111111
Month: 10
Year: 2027
Expected date: today (D/M/YYYY)</t>
  </si>
  <si>
    <t xml:space="preserve">'Date' equals today's date, including the correct month.</t>
  </si>
  <si>
    <t xml:space="preserve">Fails as expected (PD-02): confirmation date shows the previous month.</t>
  </si>
  <si>
    <t xml:space="preserve">PD-02</t>
  </si>
  <si>
    <t xml:space="preserve">CRT-028</t>
  </si>
  <si>
    <t xml:space="preserve">Verify a guest can place an order</t>
  </si>
  <si>
    <t xml:space="preserve">User is logged out; the journey starts on the Home page; guest cart is empty.</t>
  </si>
  <si>
    <t xml:space="preserve">1. Go to {BASE_URL}.
2. Open 'Nokia lumia 1520', click 'Add to cart' and accept the alert.
3. Click 'Cart', then 'Place Order'.
4. Fill all fields with the test data.
5. Click 'Purchase'.
6. Click 'OK'.
7. Click 'Cart'.</t>
  </si>
  <si>
    <t xml:space="preserve">Confirmation shows 'Amount: 820 USD'. Afterwards the guest cart has no rows.</t>
  </si>
  <si>
    <t xml:space="preserve">Receipt 'Amount: 820 USD'; guest cart empty afterwards.</t>
  </si>
  <si>
    <t xml:space="preserve">CRT-029</t>
  </si>
  <si>
    <t xml:space="preserve">Verify an order cannot be placed with an empty cart</t>
  </si>
  <si>
    <t xml:space="preserve">1. Go to {BASE_URL}.
2. Click 'Cart' in the navbar.
3. Click 'Place Order'.
4. Fill all fields with the test data.
5. Click 'Purchase'.</t>
  </si>
  <si>
    <t xml:space="preserve">No purchase confirmation is shown; the user is told the cart is empty.</t>
  </si>
  <si>
    <t xml:space="preserve">Fails as expected (PD-01): confirmation shown for an empty cart.</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</si>
  <si>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</si>
  <si>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</si>
  <si>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</si>
  <si>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</si>
  <si>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</si>
  <si>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</si>
  <si>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</si>
  <si>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</si>
  <si>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</si>
  <si>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</si>
  <si>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</si>
  <si>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</si>
  <si>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</si>
  <si>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</si>
  <si>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</si>
  <si>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</si>
  <si>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</si>
  <si>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</si>
  <si>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</si>
  <si>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shown; modal stayed open; no order; cart unchanged.</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</si>
  <si>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</si>
  <si>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</si>
  <si>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</si>
  <si>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</si>
  <si>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</si>
  <si>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</si>
  <si>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</si>
  <si>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</si>
  <si>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</si>
  <si>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</si>
  <si>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</si>
  <si>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</si>
  <si>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</si>
  <si>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</si>
  <si>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</si>
  <si>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</si>
  <si>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</si>
  <si>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</si>
  <si>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</si>
  <si>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</si>
  <si>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</si>
  <si>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</si>
  <si>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</si>
  <si>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</si>
  <si>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</si>
  <si>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</si>
  <si>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</si>
  <si>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</si>
  <si>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</si>
  <si>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</si>
  <si>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</si>
  <si>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</si>
  <si>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</si>
  <si>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</si>
  <si>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</si>
  <si>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</si>
  <si>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</si>
  <si>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</si>
  <si>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</si>
  <si>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</si>
  <si>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</si>
  <si>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</si>
  <si>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</si>
  <si>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</si>
  <si>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Alert 'Please fill out Name and Creditcard.' is shown; no order is placed.</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</si>
  <si>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</si>
  <si>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</si>
  <si>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</si>
  <si>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</si>
  <si>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</si>
  <si>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</si>
  <si>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</si>
  <si>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</si>
  <si>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</si>
  <si>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</si>
  <si>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</si>
  <si>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</si>
  <si>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</si>
  <si>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</si>
  <si>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</si>
  <si>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</si>
  <si>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</si>
  <si>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</si>
  <si>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</si>
  <si>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Name: Wong Test
Card: 4111111111111111</t>
  </si>
  <si>
    <t xml:space="preserve">Exactly one confirmation (one order Id) is shown.</t>
  </si>
  <si>
    <t xml:space="preserve">Fails as expected (PD-24): double-click sent two order submissions (POST /deletecart twice).</t>
  </si>
  <si>
    <t xml:space="preserve">PD-24</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</si>
  <si>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</si>
  <si>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</si>
  <si>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</si>
  <si>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</si>
  <si>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</si>
  <si>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</si>
  <si>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</si>
  <si>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</si>
  <si>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</si>
  <si>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</si>
  <si>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</si>
  <si>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</si>
  <si>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</si>
  <si>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</si>
  <si>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</si>
  <si>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</si>
  <si>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</si>
  <si>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</si>
  <si>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</si>
  <si>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Both calls HTTP 200; /viewcart lists the new item id with prod_id 1.</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</si>
  <si>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</si>
  <si>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</si>
  <si>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</si>
  <si>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</si>
  <si>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</si>
  <si>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</si>
  <si>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HTTP 200; deleted id no longer returned by /viewcart.</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</si>
  <si>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</si>
  <si>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</si>
  <si>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</si>
  <si>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</si>
  <si>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</si>
  <si>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Fails as expected (PD-19): HTTP 200 + 'Not found.' instead of 404.</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</si>
  <si>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</si>
  <si>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</si>
  <si>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</si>
  <si>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</si>
  <si>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</si>
  <si>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</si>
  <si>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Fails as expected (PD-22): /addtocart sent with an empty guest id; the shared cart held 121-134 items from other guests.</t>
  </si>
  <si>
    <t xml:space="preserve">PD-22</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</si>
  <si>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</si>
  <si>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</si>
  <si>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</si>
  <si>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</si>
  <si>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</si>
  <si>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</si>
  <si>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</si>
  <si>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</si>
  <si>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Automated evidence (latest run)</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</si>
  <si>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</si>
  <si>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</si>
  <si>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</si>
  <si>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</si>
  <si>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</si>
  <si>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reports/evidence/PD-01_CRT-029_&lt;browser&gt;.png + .webm
(&lt;browser&gt; = chromium, firefox, webkit)</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</si>
  <si>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</si>
  <si>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</si>
  <si>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</si>
  <si>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</si>
  <si>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reports/evidence/PD-02_CRT-027_&lt;browser&gt;.png + .webm
(&lt;browser&gt; = chromium, firefox, webkit)</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</si>
  <si>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</si>
  <si>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</si>
  <si>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</si>
  <si>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</si>
  <si>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</si>
  <si>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Manual run – see Actual (observed)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</si>
  <si>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</si>
  <si>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</si>
  <si>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</si>
  <si>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</si>
  <si>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</si>
  <si>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</si>
  <si>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</si>
  <si>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</si>
  <si>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</si>
  <si>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</si>
  <si>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</si>
  <si>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 Login side (LGN-011) reproduced by the automated run on 20-Oct-2026.</t>
  </si>
  <si>
    <t xml:space="preserve">reports/evidence/PD-05_LGN-011_&lt;browser&gt;.png + .webm
(&lt;browser&gt; = chromium, firefox, webkit)</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</si>
  <si>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</si>
  <si>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</si>
  <si>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</si>
  <si>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</si>
  <si>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</si>
  <si>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</si>
  <si>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To reproduce</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</si>
  <si>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</si>
  <si>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</si>
  <si>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</si>
  <si>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</si>
  <si>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 Reproduced 20-Oct-2026 by the automated run (Chromium, Firefox, WebKit).</t>
  </si>
  <si>
    <t xml:space="preserve">reports/evidence/PD-07_LGN-029_&lt;browser&gt;.png + .webm
(&lt;browser&gt; = chromium, firefox, webkit)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</si>
  <si>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</si>
  <si>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</si>
  <si>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</si>
  <si>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</si>
  <si>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</si>
  <si>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reports/evidence/PD-08_LGN-027_&lt;browser&gt;.png + .webm
(&lt;browser&gt; = chromium, firefox, webkit)</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</si>
  <si>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</si>
  <si>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</si>
  <si>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</si>
  <si>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 Reproduced 20-Oct-2026 by the automated run (Chromium, Firefox, WebKit).</t>
  </si>
  <si>
    <t xml:space="preserve">reports/evidence/PD-09_CRT-023_&lt;browser&gt;.png + .webm
(&lt;browser&gt; = chromium, firefox, webkit)</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</si>
  <si>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</si>
  <si>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</si>
  <si>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</si>
  <si>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</si>
  <si>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 Reproduced 20-Oct-2026 by the automated run (Chromium, Firefox, WebKit).</t>
  </si>
  <si>
    <t xml:space="preserve">reports/evidence/PD-10_LGN-020_&lt;browser&gt;.png + .webm
(&lt;browser&gt; = chromium, firefox, webkit)</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</si>
  <si>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</si>
  <si>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</si>
  <si>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</si>
  <si>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</si>
  <si>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 Login modal (LGN-021) reproduced by the automated run on 20-Oct-2026.</t>
  </si>
  <si>
    <t xml:space="preserve">reports/evidence/PD-11_LGN-021_&lt;browser&gt;.png + .webm
(&lt;browser&gt; = chromium, firefox, webkit)</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</si>
  <si>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</si>
  <si>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</si>
  <si>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</si>
  <si>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</si>
  <si>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</si>
  <si>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</si>
  <si>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</si>
  <si>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</si>
  <si>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</si>
  <si>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</si>
  <si>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'Product added.' shown even when the item is not saved (intermittent)</t>
  </si>
  <si>
    <t xml:space="preserve">1. Log in with an empty cart.
2. Add Samsung galaxy s6 twice and Nokia lumia 1520 once.
3. Open Cart.</t>
  </si>
  <si>
    <t xml:space="preserve">All 3 items in the cart.</t>
  </si>
  <si>
    <t xml:space="preserve">Only Nokia lumia 1520 was saved. The UI shows the success alert for any HTTP 200 without checking the response. Not reproduced on later tries.</t>
  </si>
  <si>
    <t xml:space="preserve">Intermittent</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</si>
  <si>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</si>
  <si>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</si>
  <si>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</si>
  <si>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</si>
  <si>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</si>
  <si>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</si>
  <si>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</si>
  <si>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</si>
  <si>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</si>
  <si>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</si>
  <si>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</si>
  <si>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</si>
  <si>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</si>
  <si>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</si>
  <si>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</si>
  <si>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</si>
  <si>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</si>
  <si>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</si>
  <si>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reports/evidence/PD-18_LGN-026_&lt;browser&gt;.txt (API log)
(&lt;browser&gt; = chromium, firefox, webkit)</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</si>
  <si>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</si>
  <si>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</si>
  <si>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</si>
  <si>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</si>
  <si>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</si>
  <si>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</si>
  <si>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reports/evidence/PD-19_LGN-034_api.txt (API log)
reports/evidence/PD-19_CRT-048_api.txt (API log)</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</si>
  <si>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</si>
  <si>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</si>
  <si>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</si>
  <si>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</si>
  <si>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</si>
  <si>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</si>
  <si>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</si>
  <si>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</si>
  <si>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</si>
  <si>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</si>
  <si>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</si>
  <si>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</si>
  <si>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reports/evidence/PD-22_CRT-049_&lt;browser&gt;.png + .webm
(&lt;browser&gt; = chromium, firefox, webkit)</t>
  </si>
  <si>
    <t xml:space="preserve">Double-clicking 'Log in' sends two login requests</t>
  </si>
  <si>
    <t xml:space="preserve">1. Open Log in and enter valid credentials.
2. Open DevTools &gt; Network.
3. Double-click 'Log in'.
4. Count POST /login requests.</t>
  </si>
  <si>
    <t xml:space="preserve">One login request per submit (button disabled while the request is in flight).</t>
  </si>
  <si>
    <t xml:space="preserve">A double-click calls logIn() twice and sends two POST /login requests. Reproduced 20-Oct-2026 by the automated run (Chromium, Firefox, WebKit).</t>
  </si>
  <si>
    <t xml:space="preserve">reports/evidence/PD-23_LGN-019_&lt;browser&gt;.png + .webm
(&lt;browser&gt; = chromium, firefox, webkit)</t>
  </si>
  <si>
    <t xml:space="preserve">Double-clicking 'Purchase' submits the order twice</t>
  </si>
  <si>
    <t xml:space="preserve">1. Add an item to the cart and open Place Order.
2. Fill Name and Credit card.
3. Open DevTools &gt; Network.
4. Double-click 'Purchase'.
5. Count POST /deletecart requests.</t>
  </si>
  <si>
    <t xml:space="preserve">One order per submit (Purchase disabled after the first click).</t>
  </si>
  <si>
    <t xml:space="preserve">A double-click runs purchaseOrder() twice: two order submissions (POST /deletecart twice) and the confirmation is regenerated. Reproduced 20-Oct-2026 by the automated run (Chromium, Firefox, WebKit).</t>
  </si>
  <si>
    <t xml:space="preserve">reports/evidence/PD-24_CRT-043_&lt;browser&gt;.png + .webm
(&lt;browser&gt; = chromium, firefox, webkit)</t>
  </si>
  <si>
    <t xml:space="preserve">No lockout or rate limit after repeated failed logins</t>
  </si>
  <si>
    <t xml:space="preserve">High (Security)</t>
  </si>
  <si>
    <t xml:space="preserve">1. Use a test account.
2. Enter a wrong password and click 'Log in' 10 times in a row.
3. Check the message on the last attempts.</t>
  </si>
  <si>
    <t xml:space="preserve">After a small number of failed attempts, further attempts are blocked or delayed (lockout, CAPTCHA or rate limit).</t>
  </si>
  <si>
    <t xml:space="preserve">10 consecutive wrong passwords all returned 'Wrong password.'; nothing slows down or blocks guessing, so passwords can be brute-forced. Reproduced 20-Oct-2026 by the automated run (Chromium, Firefox, WebKit).</t>
  </si>
  <si>
    <t xml:space="preserve">reports/evidence/PD-25_LGN-018_&lt;browser&gt;.png + .webm
(&lt;browser&gt; = chromium, firefox, webkit)</t>
  </si>
  <si>
    <t xml:space="preserve">Login does not trim spaces around the username</t>
  </si>
  <si>
    <t xml:space="preserve">1. Open Log in.
2. Enter a valid username with a space before and after it, and the correct password.
3. Click 'Log in'.</t>
  </si>
  <si>
    <t xml:space="preserve">Leading/trailing spaces are ignored, as most sites do.</t>
  </si>
  <si>
    <t xml:space="preserve">' &lt;username&gt; ' with surrounding spaces returns 'User does not exist.' Reproduced 20-Oct-2026 by the automated run (Chromium, Firefox, WebKit).</t>
  </si>
  <si>
    <t xml:space="preserve">reports/evidence/PD-26_LGN-012_&lt;browser&gt;.png + .webm
(&lt;browser&gt; = chromium, firefox, webkit)</t>
  </si>
  <si>
    <t xml:space="preserve">Login treats the username as case-sensitive</t>
  </si>
  <si>
    <t xml:space="preserve">1. Open Log in.
2. Enter a valid username in UPPER CASE and the correct password.
3. Click 'Log in'.</t>
  </si>
  <si>
    <t xml:space="preserve">Username matching is case-insensitive (to confirm with the product owner).</t>
  </si>
  <si>
    <t xml:space="preserve">The username in upper case returns 'User does not exist.' Reproduced 20-Oct-2026 by the automated run (Chromium, Firefox, WebKit).</t>
  </si>
  <si>
    <t xml:space="preserve">reports/evidence/PD-27_LGN-013_&lt;browser&gt;.png + .webm
(&lt;browser&gt; = chromium, firefox, webkit)</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</si>
  <si>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</si>
  <si>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</si>
  <si>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</si>
  <si>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</si>
  <si>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</si>
  <si>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</si>
  <si>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</si>
  <si>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</si>
  <si>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</si>
  <si>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</si>
  <si>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</si>
  <si>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</si>
  <si>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</si>
  <si>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</si>
  <si>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</si>
  <si>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{USER_B}</t>
  </si>
  <si>
    <t xml:space="preserve">qa_sy_02</t>
  </si>
  <si>
    <t xml:space="preserve">Second account for cart-isolation test (CRT-022) – create before running</t>
  </si>
  <si>
    <t xml:space="preserve">{USER_B_PASSWORD}</t>
  </si>
  <si>
    <t xml:space="preserve">(stored in .env as USER_B_PASSWORD)</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</si>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</sst>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Cases'!$B$2:$B$84,$A11,'Test Cases'!$F$2:$F$84,"Positive")</f>
        <v>11</v>
      </c>
      <c r="C11" s="7" t="n">
        <f aca="false">COUNTIFS('Test Cases'!$B$2:$B$84,$A11,'Test Cases'!$F$2:$F$84,"Negative")</f>
        <v>15</v>
      </c>
      <c r="D11" s="7" t="n">
        <f aca="false">COUNTIFS('Test Cases'!$B$2:$B$84,$A11,'Test Cases'!$F$2:$F$84,"Edge")</f>
        <v>7</v>
      </c>
      <c r="E11" s="7" t="n">
        <f aca="false">COUNTIFS('Test Cases'!$B$2:$B$84,$A11,'Test Cases'!$F$2:$F$84,"Boundary")</f>
        <v>1</v>
      </c>
      <c r="F11" s="7" t="n">
        <f aca="false">COUNTIF('Test Cases'!$B$2:$B$84,$A11)</f>
        <v>34</v>
      </c>
      <c r="G11" s="7" t="n">
        <f aca="false">COUNTIFS('Test Cases'!$B$2:$B$84,$A11,'Test Cases'!$M$2:$M$84,"Automated*")</f>
        <v>33</v>
      </c>
      <c r="H11" s="7" t="n">
        <f aca="false">COUNTIFS('Test Cases'!$B$2:$B$84,$A11,'Test Cases'!$O$2:$O$84,"&lt;&gt;Not Run")</f>
        <v>34</v>
      </c>
    </row>
    <row r="12" customFormat="false" ht="15" hidden="false" customHeight="false" outlineLevel="0" collapsed="false">
      <c r="A12" s="6" t="s">
        <v>21</v>
      </c>
      <c r="B12" s="7" t="n">
        <f aca="false">COUNTIFS('Test Cases'!$B$2:$B$84,$A12,'Test Cases'!$F$2:$F$84,"Positive")</f>
        <v>22</v>
      </c>
      <c r="C12" s="7" t="n">
        <f aca="false">COUNTIFS('Test Cases'!$B$2:$B$84,$A12,'Test Cases'!$F$2:$F$84,"Negative")</f>
        <v>15</v>
      </c>
      <c r="D12" s="7" t="n">
        <f aca="false">COUNTIFS('Test Cases'!$B$2:$B$84,$A12,'Test Cases'!$F$2:$F$84,"Edge")</f>
        <v>8</v>
      </c>
      <c r="E12" s="7" t="n">
        <f aca="false">COUNTIFS('Test Cases'!$B$2:$B$84,$A12,'Test Cases'!$F$2:$F$84,"Boundary")</f>
        <v>4</v>
      </c>
      <c r="F12" s="7" t="n">
        <f aca="false">COUNTIF('Test Cases'!$B$2:$B$84,$A12)</f>
        <v>49</v>
      </c>
      <c r="G12" s="7" t="n">
        <f aca="false">COUNTIFS('Test Cases'!$B$2:$B$84,$A12,'Test Cases'!$M$2:$M$84,"Automated*")</f>
        <v>27</v>
      </c>
      <c r="H12" s="7" t="n">
        <f aca="false">COUNTIFS('Test Cases'!$B$2:$B$84,$A12,'Test Cases'!$O$2:$O$84,"&lt;&gt;Not Run")</f>
        <v>48</v>
      </c>
    </row>
    <row r="13" customFormat="false" ht="15" hidden="false" customHeight="false" outlineLevel="0" collapsed="false">
      <c r="A13" s="6" t="s">
        <v>17</v>
      </c>
      <c r="B13" s="8" t="n">
        <f aca="false">SUM(B11:B12)</f>
        <v>33</v>
      </c>
      <c r="C13" s="8" t="n">
        <f aca="false">SUM(C11:C12)</f>
        <v>30</v>
      </c>
      <c r="D13" s="8" t="n">
        <f aca="false">SUM(D11:D12)</f>
        <v>15</v>
      </c>
      <c r="E13" s="8" t="n">
        <f aca="false">SUM(E11:E12)</f>
        <v>5</v>
      </c>
      <c r="F13" s="8" t="n">
        <f aca="false">SUM(F11:F12)</f>
        <v>83</v>
      </c>
      <c r="G13" s="8" t="n">
        <f aca="false">SUM(G11:G12)</f>
        <v>60</v>
      </c>
      <c r="H13" s="8" t="n">
        <f aca="false">SUM(H11:H12)</f>
        <v>82</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Cases'!$B$2:$B$84,$A17,'Test Cases'!$E$2:$E$84,"Functional")</f>
        <v>19</v>
      </c>
      <c r="C17" s="7" t="n">
        <f aca="false">COUNTIFS('Test Cases'!$B$2:$B$84,$A17,'Test Cases'!$E$2:$E$84,"Security")</f>
        <v>9</v>
      </c>
      <c r="D17" s="7" t="n">
        <f aca="false">COUNTIFS('Test Cases'!$B$2:$B$84,$A17,'Test Cases'!$E$2:$E$84,"API")</f>
        <v>3</v>
      </c>
      <c r="E17" s="7" t="n">
        <f aca="false">COUNTIFS('Test Cases'!$B$2:$B$84,$A17,'Test Cases'!$E$2:$E$84,"Usability")</f>
        <v>3</v>
      </c>
      <c r="F17" s="7" t="n">
        <f aca="false">COUNTIFS('Test Cases'!$B$2:$B$84,$A17,'Test Cases'!$E$2:$E$84,"Performance")</f>
        <v>0</v>
      </c>
      <c r="G17" s="7" t="n">
        <f aca="false">SUM(B17:F17)</f>
        <v>34</v>
      </c>
    </row>
    <row r="18" customFormat="false" ht="15" hidden="false" customHeight="false" outlineLevel="0" collapsed="false">
      <c r="A18" s="6" t="s">
        <v>21</v>
      </c>
      <c r="B18" s="7" t="n">
        <f aca="false">COUNTIFS('Test Cases'!$B$2:$B$84,$A18,'Test Cases'!$E$2:$E$84,"Functional")</f>
        <v>36</v>
      </c>
      <c r="C18" s="7" t="n">
        <f aca="false">COUNTIFS('Test Cases'!$B$2:$B$84,$A18,'Test Cases'!$E$2:$E$84,"Security")</f>
        <v>6</v>
      </c>
      <c r="D18" s="7" t="n">
        <f aca="false">COUNTIFS('Test Cases'!$B$2:$B$84,$A18,'Test Cases'!$E$2:$E$84,"API")</f>
        <v>3</v>
      </c>
      <c r="E18" s="7" t="n">
        <f aca="false">COUNTIFS('Test Cases'!$B$2:$B$84,$A18,'Test Cases'!$E$2:$E$84,"Usability")</f>
        <v>3</v>
      </c>
      <c r="F18" s="7" t="n">
        <f aca="false">COUNTIFS('Test Cases'!$B$2:$B$84,$A18,'Test Cases'!$E$2:$E$84,"Performance")</f>
        <v>1</v>
      </c>
      <c r="G18" s="7" t="n">
        <f aca="false">SUM(B18:F18)</f>
        <v>49</v>
      </c>
    </row>
    <row r="19" customFormat="false" ht="15" hidden="false" customHeight="false" outlineLevel="0" collapsed="false">
      <c r="A19" s="6" t="s">
        <v>17</v>
      </c>
      <c r="B19" s="8" t="n">
        <f aca="false">SUM(B17:B18)</f>
        <v>55</v>
      </c>
      <c r="C19" s="8" t="n">
        <f aca="false">SUM(C17:C18)</f>
        <v>15</v>
      </c>
      <c r="D19" s="8" t="n">
        <f aca="false">SUM(D17:D18)</f>
        <v>6</v>
      </c>
      <c r="E19" s="8" t="n">
        <f aca="false">SUM(E17:E18)</f>
        <v>6</v>
      </c>
      <c r="F19" s="8" t="n">
        <f aca="false">SUM(F17:F18)</f>
        <v>1</v>
      </c>
      <c r="G19" s="8" t="n">
        <f aca="false">SUM(G17:G18)</f>
        <v>83</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Cases'!$O$2:$O$84,$A23)</f>
        <v>51</v>
      </c>
      <c r="C23" s="7" t="n">
        <f aca="false">COUNTIFS('Test Cases'!$O$2:$O$84,$A23,'Test Cases'!$G$2:$G$84,"P1")</f>
        <v>15</v>
      </c>
      <c r="D23" s="7" t="n">
        <f aca="false">COUNTIFS('Test Cases'!$O$2:$O$84,$A23,'Test Cases'!$G$2:$G$84,"P2")</f>
        <v>27</v>
      </c>
      <c r="E23" s="7" t="n">
        <f aca="false">COUNTIFS('Test Cases'!$O$2:$O$84,$A23,'Test Cases'!$G$2:$G$84,"P3")</f>
        <v>9</v>
      </c>
      <c r="G23" s="9" t="s">
        <v>35</v>
      </c>
    </row>
    <row r="24" customFormat="false" ht="15" hidden="false" customHeight="false" outlineLevel="0" collapsed="false">
      <c r="A24" s="6" t="s">
        <v>36</v>
      </c>
      <c r="B24" s="7" t="n">
        <f aca="false">COUNTIF('Test Cases'!$O$2:$O$84,$A24)</f>
        <v>31</v>
      </c>
      <c r="C24" s="7" t="n">
        <f aca="false">COUNTIFS('Test Cases'!$O$2:$O$84,$A24,'Test Cases'!$G$2:$G$84,"P1")</f>
        <v>4</v>
      </c>
      <c r="D24" s="7" t="n">
        <f aca="false">COUNTIFS('Test Cases'!$O$2:$O$84,$A24,'Test Cases'!$G$2:$G$84,"P2")</f>
        <v>9</v>
      </c>
      <c r="E24" s="7" t="n">
        <f aca="false">COUNTIFS('Test Cases'!$O$2:$O$84,$A24,'Test Cases'!$G$2:$G$84,"P3")</f>
        <v>18</v>
      </c>
      <c r="G24" s="10" t="n">
        <f aca="false">IFERROR(B23/(B23+B24),0)</f>
        <v>0.621951219512195</v>
      </c>
    </row>
    <row r="25" customFormat="false" ht="15" hidden="false" customHeight="false" outlineLevel="0" collapsed="false">
      <c r="A25" s="6" t="s">
        <v>37</v>
      </c>
      <c r="B25" s="7" t="n">
        <f aca="false">COUNTIF('Test Cases'!$O$2:$O$84,$A25)</f>
        <v>0</v>
      </c>
      <c r="C25" s="7" t="n">
        <f aca="false">COUNTIFS('Test Cases'!$O$2:$O$84,$A25,'Test Cases'!$G$2:$G$84,"P1")</f>
        <v>0</v>
      </c>
      <c r="D25" s="7" t="n">
        <f aca="false">COUNTIFS('Test Cases'!$O$2:$O$84,$A25,'Test Cases'!$G$2:$G$84,"P2")</f>
        <v>0</v>
      </c>
      <c r="E25" s="7" t="n">
        <f aca="false">COUNTIFS('Test Cases'!$O$2:$O$84,$A25,'Test Cases'!$G$2:$G$84,"P3")</f>
        <v>0</v>
      </c>
    </row>
    <row r="26" customFormat="false" ht="15" hidden="false" customHeight="false" outlineLevel="0" collapsed="false">
      <c r="A26" s="6" t="s">
        <v>38</v>
      </c>
      <c r="B26" s="7" t="n">
        <f aca="false">COUNTIF('Test Cases'!$O$2:$O$84,$A26)</f>
        <v>1</v>
      </c>
      <c r="C26" s="7" t="n">
        <f aca="false">COUNTIFS('Test Cases'!$O$2:$O$84,$A26,'Test Cases'!$G$2:$G$84,"P1")</f>
        <v>0</v>
      </c>
      <c r="D26" s="7" t="n">
        <f aca="false">COUNTIFS('Test Cases'!$O$2:$O$84,$A26,'Test Cases'!$G$2:$G$84,"P2")</f>
        <v>0</v>
      </c>
      <c r="E26" s="7" t="n">
        <f aca="false">COUNTIFS('Test Cases'!$O$2:$O$84,$A26,'Test Cases'!$G$2:$G$84,"P3")</f>
        <v>1</v>
      </c>
    </row>
    <row r="27" customFormat="false" ht="15" hidden="false" customHeight="false" outlineLevel="0" collapsed="false">
      <c r="A27" s="6" t="s">
        <v>17</v>
      </c>
      <c r="B27" s="8" t="n">
        <f aca="false">SUM(B23:B26)</f>
        <v>83</v>
      </c>
      <c r="C27" s="8" t="n">
        <f aca="false">SUM(C23:C26)</f>
        <v>19</v>
      </c>
      <c r="D27" s="8" t="n">
        <f aca="false">SUM(D23:D26)</f>
        <v>36</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Cases'!$M$2:$M$84,$A31)</f>
        <v>43</v>
      </c>
      <c r="C31" s="11" t="s">
        <v>42</v>
      </c>
      <c r="D31" s="11"/>
      <c r="E31" s="11"/>
      <c r="F31" s="11"/>
      <c r="G31" s="11"/>
      <c r="H31" s="11"/>
    </row>
    <row r="32" customFormat="false" ht="24" hidden="false" customHeight="true" outlineLevel="0" collapsed="false">
      <c r="A32" s="6" t="s">
        <v>43</v>
      </c>
      <c r="B32" s="7" t="n">
        <f aca="false">COUNTIF('Test Cases'!$M$2:$M$84,$A32)</f>
        <v>17</v>
      </c>
      <c r="C32" s="11" t="s">
        <v>44</v>
      </c>
      <c r="D32" s="11"/>
      <c r="E32" s="11"/>
      <c r="F32" s="11"/>
      <c r="G32" s="11"/>
      <c r="H32" s="11"/>
    </row>
    <row r="33" customFormat="false" ht="24" hidden="false" customHeight="true" outlineLevel="0" collapsed="false">
      <c r="A33" s="6" t="s">
        <v>45</v>
      </c>
      <c r="B33" s="7" t="n">
        <f aca="false">COUNTIF('Test Cases'!$M$2:$M$84,$A33)</f>
        <v>11</v>
      </c>
      <c r="C33" s="11" t="s">
        <v>46</v>
      </c>
      <c r="D33" s="11"/>
      <c r="E33" s="11"/>
      <c r="F33" s="11"/>
      <c r="G33" s="11"/>
      <c r="H33" s="11"/>
    </row>
    <row r="34" customFormat="false" ht="24" hidden="false" customHeight="true" outlineLevel="0" collapsed="false">
      <c r="A34" s="6" t="s">
        <v>47</v>
      </c>
      <c r="B34" s="7" t="n">
        <f aca="false">COUNTIF('Test Cases'!$M$2:$M$84,$A34)</f>
        <v>12</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Cases'!$H$2:$H$84,$A38)</f>
        <v>5</v>
      </c>
      <c r="C38" s="11" t="s">
        <v>52</v>
      </c>
      <c r="D38" s="11"/>
      <c r="E38" s="11"/>
      <c r="F38" s="11"/>
      <c r="G38" s="11"/>
      <c r="H38" s="11"/>
    </row>
    <row r="39" customFormat="false" ht="27.75" hidden="false" customHeight="true" outlineLevel="0" collapsed="false">
      <c r="A39" s="6" t="s">
        <v>53</v>
      </c>
      <c r="B39" s="7" t="n">
        <f aca="false">COUNTIF('Test Cases'!$H$2:$H$84,$A39)</f>
        <v>35</v>
      </c>
      <c r="C39" s="11" t="s">
        <v>54</v>
      </c>
      <c r="D39" s="11"/>
      <c r="E39" s="11"/>
      <c r="F39" s="11"/>
      <c r="G39" s="11"/>
      <c r="H39" s="11"/>
    </row>
    <row r="40" customFormat="false" ht="27.75" hidden="false" customHeight="true" outlineLevel="0" collapsed="false">
      <c r="A40" s="6" t="s">
        <v>55</v>
      </c>
      <c r="B40" s="7" t="n">
        <f aca="false">COUNTIF('Test Cases'!$H$2:$H$84,$A40)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Defects'!$C$2:$C$28,$A44)</f>
        <v>10</v>
      </c>
      <c r="C44" s="7" t="n">
        <f aca="false">COUNTIFS('Potential Defects'!$C$2:$C$28,$A44,'Potential Defects'!$I$2:$I$28,"Reproduced")</f>
        <v>8</v>
      </c>
    </row>
    <row r="45" customFormat="false" ht="27.75" hidden="false" customHeight="true" outlineLevel="0" collapsed="false">
      <c r="A45" s="6" t="s">
        <v>62</v>
      </c>
      <c r="B45" s="7" t="n">
        <f aca="false">COUNTIF('Potential Defects'!$C$2:$C$28,$A45)</f>
        <v>8</v>
      </c>
      <c r="C45" s="7" t="n">
        <f aca="false">COUNTIFS('Potential Defects'!$C$2:$C$28,$A45,'Potential Defects'!$I$2:$I$28,"Reproduced")</f>
        <v>8</v>
      </c>
    </row>
    <row r="46" customFormat="false" ht="27.75" hidden="false" customHeight="true" outlineLevel="0" collapsed="false">
      <c r="A46" s="6" t="s">
        <v>63</v>
      </c>
      <c r="B46" s="7" t="n">
        <f aca="false">COUNTIF('Potential Defects'!$C$2:$C$28,$A46)</f>
        <v>5</v>
      </c>
      <c r="C46" s="7" t="n">
        <f aca="false">COUNTIFS('Potential Defects'!$C$2:$C$28,$A46,'Potential Defects'!$I$2:$I$28,"Reproduced")</f>
        <v>5</v>
      </c>
    </row>
    <row r="47" customFormat="false" ht="27.75" hidden="false" customHeight="true" outlineLevel="0" collapsed="false">
      <c r="A47" s="6" t="s">
        <v>64</v>
      </c>
      <c r="B47" s="7" t="n">
        <f aca="false">COUNTIF('Potential Defects'!$C$2:$C$28,$A47)</f>
        <v>4</v>
      </c>
      <c r="C47" s="7" t="n">
        <f aca="false">COUNTIFS('Potential Defects'!$C$2:$C$28,$A47,'Potential Defects'!$I$2:$I$28,"Reproduced")</f>
        <v>4</v>
      </c>
    </row>
    <row r="48" customFormat="false" ht="15" hidden="false" customHeight="false" outlineLevel="0" collapsed="false">
      <c r="A48" s="6" t="s">
        <v>17</v>
      </c>
      <c r="B48" s="8" t="n">
        <f aca="false">SUM(B44:B47)</f>
        <v>27</v>
      </c>
      <c r="C48" s="8" t="n">
        <f aca="false">SUM(C44:C47)</f>
        <v>25</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row r="60" customFormat="false" ht="15" hidden="false" customHeight="false" outlineLevel="0" collapsed="false">
      <c r="A60" s="4" t="s">
        <v>82</v>
      </c>
    </row>
    <row r="61" customFormat="false" ht="15" hidden="false" customHeight="false" outlineLevel="0" collapsed="false">
      <c r="A61" s="5" t="s">
        <v>7</v>
      </c>
      <c r="B61" s="5" t="s">
        <v>83</v>
      </c>
      <c r="C61" s="5" t="s">
        <v>84</v>
      </c>
    </row>
    <row r="62" customFormat="false" ht="21" hidden="false" customHeight="true" outlineLevel="0" collapsed="false">
      <c r="A62" s="6" t="s">
        <v>85</v>
      </c>
      <c r="B62" s="7" t="s">
        <v>86</v>
      </c>
      <c r="C62" s="11" t="s">
        <v>87</v>
      </c>
      <c r="D62" s="11"/>
      <c r="E62" s="11"/>
      <c r="F62" s="11"/>
      <c r="G62" s="11"/>
      <c r="H62" s="11"/>
    </row>
    <row r="63" customFormat="false" ht="66" hidden="false" customHeight="true" outlineLevel="0" collapsed="false">
      <c r="A63" s="6" t="s">
        <v>88</v>
      </c>
      <c r="B63" s="7" t="s">
        <v>89</v>
      </c>
      <c r="C63" s="11" t="s">
        <v>90</v>
      </c>
      <c r="D63" s="11"/>
      <c r="E63" s="11"/>
      <c r="F63" s="11"/>
      <c r="G63" s="11"/>
      <c r="H63" s="11"/>
    </row>
    <row r="64" customFormat="false" ht="51" hidden="false" customHeight="true" outlineLevel="0" collapsed="false">
      <c r="A64" s="6" t="s">
        <v>91</v>
      </c>
      <c r="B64" s="7" t="s">
        <v>89</v>
      </c>
      <c r="C64" s="11" t="s">
        <v>92</v>
      </c>
      <c r="D64" s="11"/>
      <c r="E64" s="11"/>
      <c r="F64" s="11"/>
      <c r="G64" s="11"/>
      <c r="H64" s="11"/>
    </row>
    <row r="65" customFormat="false" ht="51" hidden="false" customHeight="true" outlineLevel="0" collapsed="false">
      <c r="A65" s="6" t="s">
        <v>93</v>
      </c>
      <c r="B65" s="7" t="s">
        <v>89</v>
      </c>
      <c r="C65" s="11" t="s">
        <v>94</v>
      </c>
      <c r="D65" s="11"/>
      <c r="E65" s="11"/>
      <c r="F65" s="11"/>
      <c r="G65" s="11"/>
      <c r="H65" s="11"/>
    </row>
    <row r="66" customFormat="false" ht="36" hidden="false" customHeight="true" outlineLevel="0" collapsed="false">
      <c r="A66" s="6" t="s">
        <v>95</v>
      </c>
      <c r="B66" s="7" t="s">
        <v>89</v>
      </c>
      <c r="C66" s="11" t="s">
        <v>96</v>
      </c>
      <c r="D66" s="11"/>
      <c r="E66" s="11"/>
      <c r="F66" s="11"/>
      <c r="G66" s="11"/>
      <c r="H66" s="11"/>
    </row>
    <row r="67" customFormat="false" ht="51" hidden="false" customHeight="true" outlineLevel="0" collapsed="false">
      <c r="A67" s="6" t="s">
        <v>97</v>
      </c>
      <c r="B67" s="7" t="s">
        <v>89</v>
      </c>
      <c r="C67" s="11" t="s">
        <v>98</v>
      </c>
      <c r="D67" s="11"/>
      <c r="E67" s="11"/>
      <c r="F67" s="11"/>
      <c r="G67" s="11"/>
      <c r="H67" s="11"/>
    </row>
    <row r="68" customFormat="false" ht="51" hidden="false" customHeight="true" outlineLevel="0" collapsed="false">
      <c r="A68" s="6" t="s">
        <v>99</v>
      </c>
      <c r="B68" s="7" t="s">
        <v>89</v>
      </c>
      <c r="C68" s="11" t="s">
        <v>100</v>
      </c>
      <c r="D68" s="11"/>
      <c r="E68" s="11"/>
      <c r="F68" s="11"/>
      <c r="G68" s="11"/>
      <c r="H68" s="11"/>
    </row>
  </sheetData>
  <mergeCells count="26">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3:H63"/>
    <mergeCell ref="C64:H64"/>
    <mergeCell ref="C65:H65"/>
    <mergeCell ref="C66:H66"/>
    <mergeCell ref="C67:H67"/>
    <mergeCell ref="C68:H68"/>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101</v>
      </c>
      <c r="B1" s="5" t="s">
        <v>12</v>
      </c>
      <c r="C1" s="5" t="s">
        <v>102</v>
      </c>
      <c r="D1" s="5" t="s">
        <v>68</v>
      </c>
      <c r="E1" s="5" t="s">
        <v>103</v>
      </c>
      <c r="F1" s="5" t="s">
        <v>78</v>
      </c>
      <c r="G1" s="5" t="s">
        <v>76</v>
      </c>
      <c r="H1" s="5" t="s">
        <v>104</v>
      </c>
      <c r="I1" s="5" t="s">
        <v>105</v>
      </c>
      <c r="J1" s="5" t="s">
        <v>106</v>
      </c>
      <c r="K1" s="5" t="s">
        <v>107</v>
      </c>
      <c r="L1" s="5" t="s">
        <v>72</v>
      </c>
      <c r="M1" s="5" t="s">
        <v>108</v>
      </c>
      <c r="N1" s="5" t="s">
        <v>109</v>
      </c>
      <c r="O1" s="5" t="s">
        <v>29</v>
      </c>
      <c r="P1" s="5" t="s">
        <v>110</v>
      </c>
      <c r="Q1" s="5" t="s">
        <v>111</v>
      </c>
      <c r="R1" s="5" t="s">
        <v>112</v>
      </c>
      <c r="S1" s="5" t="s">
        <v>113</v>
      </c>
    </row>
    <row r="2" customFormat="false" ht="87.75" hidden="false" customHeight="true" outlineLevel="0" collapsed="false">
      <c r="A2" s="12" t="s">
        <v>114</v>
      </c>
      <c r="B2" s="12" t="s">
        <v>20</v>
      </c>
      <c r="C2" s="13" t="s">
        <v>115</v>
      </c>
      <c r="D2" s="13" t="s">
        <v>116</v>
      </c>
      <c r="E2" s="12" t="s">
        <v>23</v>
      </c>
      <c r="F2" s="12" t="s">
        <v>13</v>
      </c>
      <c r="G2" s="12" t="s">
        <v>31</v>
      </c>
      <c r="H2" s="13" t="s">
        <v>53</v>
      </c>
      <c r="I2" s="13" t="s">
        <v>117</v>
      </c>
      <c r="J2" s="13" t="s">
        <v>118</v>
      </c>
      <c r="K2" s="13" t="s">
        <v>119</v>
      </c>
      <c r="L2" s="13" t="s">
        <v>120</v>
      </c>
      <c r="M2" s="13" t="s">
        <v>18</v>
      </c>
      <c r="N2" s="13" t="s">
        <v>121</v>
      </c>
      <c r="O2" s="12" t="s">
        <v>34</v>
      </c>
      <c r="P2" s="12" t="s">
        <v>89</v>
      </c>
      <c r="Q2" s="12" t="s">
        <v>122</v>
      </c>
      <c r="R2" s="12"/>
      <c r="S2" s="13" t="s">
        <v>123</v>
      </c>
    </row>
    <row r="3" customFormat="false" ht="61.5" hidden="false" customHeight="true" outlineLevel="0" collapsed="false">
      <c r="A3" s="14" t="s">
        <v>124</v>
      </c>
      <c r="B3" s="14" t="s">
        <v>20</v>
      </c>
      <c r="C3" s="15" t="s">
        <v>115</v>
      </c>
      <c r="D3" s="15" t="s">
        <v>125</v>
      </c>
      <c r="E3" s="14" t="s">
        <v>23</v>
      </c>
      <c r="F3" s="14" t="s">
        <v>14</v>
      </c>
      <c r="G3" s="14" t="s">
        <v>32</v>
      </c>
      <c r="H3" s="15" t="s">
        <v>53</v>
      </c>
      <c r="I3" s="15" t="s">
        <v>126</v>
      </c>
      <c r="J3" s="15" t="s">
        <v>127</v>
      </c>
      <c r="K3" s="15" t="s">
        <v>128</v>
      </c>
      <c r="L3" s="15" t="s">
        <v>129</v>
      </c>
      <c r="M3" s="15" t="s">
        <v>18</v>
      </c>
      <c r="N3" s="15" t="s">
        <v>130</v>
      </c>
      <c r="O3" s="14" t="s">
        <v>34</v>
      </c>
      <c r="P3" s="14" t="s">
        <v>89</v>
      </c>
      <c r="Q3" s="14" t="s">
        <v>122</v>
      </c>
      <c r="R3" s="14"/>
      <c r="S3" s="15" t="s">
        <v>123</v>
      </c>
    </row>
    <row r="4" customFormat="false" ht="48.75" hidden="false" customHeight="true" outlineLevel="0" collapsed="false">
      <c r="A4" s="12" t="s">
        <v>131</v>
      </c>
      <c r="B4" s="12" t="s">
        <v>20</v>
      </c>
      <c r="C4" s="13" t="s">
        <v>20</v>
      </c>
      <c r="D4" s="13" t="s">
        <v>132</v>
      </c>
      <c r="E4" s="12" t="s">
        <v>23</v>
      </c>
      <c r="F4" s="12" t="s">
        <v>13</v>
      </c>
      <c r="G4" s="12" t="s">
        <v>33</v>
      </c>
      <c r="H4" s="13" t="s">
        <v>53</v>
      </c>
      <c r="I4" s="13" t="s">
        <v>117</v>
      </c>
      <c r="J4" s="13" t="s">
        <v>133</v>
      </c>
      <c r="K4" s="13" t="s">
        <v>134</v>
      </c>
      <c r="L4" s="13" t="s">
        <v>135</v>
      </c>
      <c r="M4" s="13" t="s">
        <v>18</v>
      </c>
      <c r="N4" s="13" t="s">
        <v>136</v>
      </c>
      <c r="O4" s="12" t="s">
        <v>34</v>
      </c>
      <c r="P4" s="12" t="s">
        <v>89</v>
      </c>
      <c r="Q4" s="12" t="s">
        <v>122</v>
      </c>
      <c r="R4" s="12"/>
      <c r="S4" s="13" t="s">
        <v>137</v>
      </c>
    </row>
    <row r="5" customFormat="false" ht="75" hidden="false" customHeight="true" outlineLevel="0" collapsed="false">
      <c r="A5" s="14" t="s">
        <v>138</v>
      </c>
      <c r="B5" s="14" t="s">
        <v>20</v>
      </c>
      <c r="C5" s="15" t="s">
        <v>20</v>
      </c>
      <c r="D5" s="15" t="s">
        <v>139</v>
      </c>
      <c r="E5" s="14" t="s">
        <v>23</v>
      </c>
      <c r="F5" s="14" t="s">
        <v>13</v>
      </c>
      <c r="G5" s="14" t="s">
        <v>31</v>
      </c>
      <c r="H5" s="15" t="s">
        <v>51</v>
      </c>
      <c r="I5" s="15" t="s">
        <v>126</v>
      </c>
      <c r="J5" s="15" t="s">
        <v>140</v>
      </c>
      <c r="K5" s="15" t="s">
        <v>141</v>
      </c>
      <c r="L5" s="15" t="s">
        <v>142</v>
      </c>
      <c r="M5" s="15" t="s">
        <v>18</v>
      </c>
      <c r="N5" s="15" t="s">
        <v>143</v>
      </c>
      <c r="O5" s="14" t="s">
        <v>34</v>
      </c>
      <c r="P5" s="14" t="s">
        <v>89</v>
      </c>
      <c r="Q5" s="14" t="s">
        <v>144</v>
      </c>
      <c r="R5" s="14"/>
      <c r="S5" s="15" t="s">
        <v>137</v>
      </c>
    </row>
    <row r="6" customFormat="false" ht="61.5" hidden="false" customHeight="true" outlineLevel="0" collapsed="false">
      <c r="A6" s="12" t="s">
        <v>145</v>
      </c>
      <c r="B6" s="12" t="s">
        <v>20</v>
      </c>
      <c r="C6" s="13" t="s">
        <v>20</v>
      </c>
      <c r="D6" s="13" t="s">
        <v>146</v>
      </c>
      <c r="E6" s="12" t="s">
        <v>23</v>
      </c>
      <c r="F6" s="12" t="s">
        <v>13</v>
      </c>
      <c r="G6" s="12" t="s">
        <v>33</v>
      </c>
      <c r="H6" s="13" t="s">
        <v>53</v>
      </c>
      <c r="I6" s="13" t="s">
        <v>147</v>
      </c>
      <c r="J6" s="13" t="s">
        <v>148</v>
      </c>
      <c r="K6" s="13" t="s">
        <v>149</v>
      </c>
      <c r="L6" s="13" t="s">
        <v>150</v>
      </c>
      <c r="M6" s="13" t="s">
        <v>18</v>
      </c>
      <c r="N6" s="13" t="s">
        <v>151</v>
      </c>
      <c r="O6" s="12" t="s">
        <v>34</v>
      </c>
      <c r="P6" s="12" t="s">
        <v>89</v>
      </c>
      <c r="Q6" s="12" t="s">
        <v>122</v>
      </c>
      <c r="R6" s="12"/>
      <c r="S6" s="13" t="s">
        <v>137</v>
      </c>
    </row>
    <row r="7" customFormat="false" ht="75" hidden="false" customHeight="true" outlineLevel="0" collapsed="false">
      <c r="A7" s="14" t="s">
        <v>152</v>
      </c>
      <c r="B7" s="14" t="s">
        <v>20</v>
      </c>
      <c r="C7" s="15" t="s">
        <v>20</v>
      </c>
      <c r="D7" s="15" t="s">
        <v>153</v>
      </c>
      <c r="E7" s="14" t="s">
        <v>23</v>
      </c>
      <c r="F7" s="14" t="s">
        <v>14</v>
      </c>
      <c r="G7" s="14" t="s">
        <v>31</v>
      </c>
      <c r="H7" s="15" t="s">
        <v>53</v>
      </c>
      <c r="I7" s="15" t="s">
        <v>126</v>
      </c>
      <c r="J7" s="15" t="s">
        <v>154</v>
      </c>
      <c r="K7" s="15" t="s">
        <v>155</v>
      </c>
      <c r="L7" s="15" t="s">
        <v>156</v>
      </c>
      <c r="M7" s="15" t="s">
        <v>18</v>
      </c>
      <c r="N7" s="15" t="s">
        <v>157</v>
      </c>
      <c r="O7" s="14" t="s">
        <v>34</v>
      </c>
      <c r="P7" s="14" t="s">
        <v>89</v>
      </c>
      <c r="Q7" s="14" t="s">
        <v>122</v>
      </c>
      <c r="R7" s="14"/>
      <c r="S7" s="15" t="s">
        <v>137</v>
      </c>
    </row>
    <row r="8" customFormat="false" ht="61.5" hidden="false" customHeight="true" outlineLevel="0" collapsed="false">
      <c r="A8" s="12" t="s">
        <v>158</v>
      </c>
      <c r="B8" s="12" t="s">
        <v>20</v>
      </c>
      <c r="C8" s="13" t="s">
        <v>20</v>
      </c>
      <c r="D8" s="13" t="s">
        <v>159</v>
      </c>
      <c r="E8" s="12" t="s">
        <v>23</v>
      </c>
      <c r="F8" s="12" t="s">
        <v>14</v>
      </c>
      <c r="G8" s="12" t="s">
        <v>31</v>
      </c>
      <c r="H8" s="13" t="s">
        <v>53</v>
      </c>
      <c r="I8" s="13" t="s">
        <v>117</v>
      </c>
      <c r="J8" s="13" t="s">
        <v>160</v>
      </c>
      <c r="K8" s="13" t="s">
        <v>161</v>
      </c>
      <c r="L8" s="13" t="s">
        <v>162</v>
      </c>
      <c r="M8" s="13" t="s">
        <v>18</v>
      </c>
      <c r="N8" s="13" t="s">
        <v>163</v>
      </c>
      <c r="O8" s="12" t="s">
        <v>34</v>
      </c>
      <c r="P8" s="12" t="s">
        <v>89</v>
      </c>
      <c r="Q8" s="12" t="s">
        <v>122</v>
      </c>
      <c r="R8" s="12"/>
      <c r="S8" s="13" t="s">
        <v>137</v>
      </c>
    </row>
    <row r="9" customFormat="false" ht="61.5" hidden="false" customHeight="true" outlineLevel="0" collapsed="false">
      <c r="A9" s="14" t="s">
        <v>164</v>
      </c>
      <c r="B9" s="14" t="s">
        <v>20</v>
      </c>
      <c r="C9" s="15" t="s">
        <v>20</v>
      </c>
      <c r="D9" s="15" t="s">
        <v>165</v>
      </c>
      <c r="E9" s="14" t="s">
        <v>23</v>
      </c>
      <c r="F9" s="14" t="s">
        <v>14</v>
      </c>
      <c r="G9" s="14" t="s">
        <v>31</v>
      </c>
      <c r="H9" s="15" t="s">
        <v>53</v>
      </c>
      <c r="I9" s="15" t="s">
        <v>117</v>
      </c>
      <c r="J9" s="15" t="s">
        <v>166</v>
      </c>
      <c r="K9" s="15" t="s">
        <v>167</v>
      </c>
      <c r="L9" s="15" t="s">
        <v>168</v>
      </c>
      <c r="M9" s="15" t="s">
        <v>18</v>
      </c>
      <c r="N9" s="15" t="s">
        <v>169</v>
      </c>
      <c r="O9" s="14" t="s">
        <v>34</v>
      </c>
      <c r="P9" s="14" t="s">
        <v>89</v>
      </c>
      <c r="Q9" s="14" t="s">
        <v>122</v>
      </c>
      <c r="R9" s="14"/>
      <c r="S9" s="15" t="s">
        <v>137</v>
      </c>
    </row>
    <row r="10" customFormat="false" ht="75" hidden="false" customHeight="true" outlineLevel="0" collapsed="false">
      <c r="A10" s="12" t="s">
        <v>170</v>
      </c>
      <c r="B10" s="12" t="s">
        <v>20</v>
      </c>
      <c r="C10" s="13" t="s">
        <v>20</v>
      </c>
      <c r="D10" s="13" t="s">
        <v>171</v>
      </c>
      <c r="E10" s="12" t="s">
        <v>23</v>
      </c>
      <c r="F10" s="12" t="s">
        <v>14</v>
      </c>
      <c r="G10" s="12" t="s">
        <v>32</v>
      </c>
      <c r="H10" s="13" t="s">
        <v>53</v>
      </c>
      <c r="I10" s="13" t="s">
        <v>117</v>
      </c>
      <c r="J10" s="13" t="s">
        <v>172</v>
      </c>
      <c r="K10" s="13" t="s">
        <v>173</v>
      </c>
      <c r="L10" s="13" t="s">
        <v>174</v>
      </c>
      <c r="M10" s="13" t="s">
        <v>18</v>
      </c>
      <c r="N10" s="13" t="s">
        <v>169</v>
      </c>
      <c r="O10" s="12" t="s">
        <v>34</v>
      </c>
      <c r="P10" s="12" t="s">
        <v>89</v>
      </c>
      <c r="Q10" s="12" t="s">
        <v>122</v>
      </c>
      <c r="R10" s="12"/>
      <c r="S10" s="13" t="s">
        <v>137</v>
      </c>
    </row>
    <row r="11" customFormat="false" ht="61.5" hidden="false" customHeight="true" outlineLevel="0" collapsed="false">
      <c r="A11" s="14" t="s">
        <v>175</v>
      </c>
      <c r="B11" s="14" t="s">
        <v>20</v>
      </c>
      <c r="C11" s="15" t="s">
        <v>20</v>
      </c>
      <c r="D11" s="15" t="s">
        <v>176</v>
      </c>
      <c r="E11" s="14" t="s">
        <v>23</v>
      </c>
      <c r="F11" s="14" t="s">
        <v>14</v>
      </c>
      <c r="G11" s="14" t="s">
        <v>32</v>
      </c>
      <c r="H11" s="15" t="s">
        <v>53</v>
      </c>
      <c r="I11" s="15" t="s">
        <v>126</v>
      </c>
      <c r="J11" s="15" t="s">
        <v>177</v>
      </c>
      <c r="K11" s="15" t="s">
        <v>178</v>
      </c>
      <c r="L11" s="15" t="s">
        <v>174</v>
      </c>
      <c r="M11" s="15" t="s">
        <v>18</v>
      </c>
      <c r="N11" s="15" t="s">
        <v>169</v>
      </c>
      <c r="O11" s="14" t="s">
        <v>34</v>
      </c>
      <c r="P11" s="14" t="s">
        <v>89</v>
      </c>
      <c r="Q11" s="14" t="s">
        <v>122</v>
      </c>
      <c r="R11" s="14"/>
      <c r="S11" s="15" t="s">
        <v>137</v>
      </c>
    </row>
    <row r="12" customFormat="false" ht="75" hidden="false" customHeight="true" outlineLevel="0" collapsed="false">
      <c r="A12" s="12" t="s">
        <v>179</v>
      </c>
      <c r="B12" s="12" t="s">
        <v>20</v>
      </c>
      <c r="C12" s="13" t="s">
        <v>20</v>
      </c>
      <c r="D12" s="13" t="s">
        <v>180</v>
      </c>
      <c r="E12" s="12" t="s">
        <v>23</v>
      </c>
      <c r="F12" s="12" t="s">
        <v>15</v>
      </c>
      <c r="G12" s="12" t="s">
        <v>33</v>
      </c>
      <c r="H12" s="13" t="s">
        <v>55</v>
      </c>
      <c r="I12" s="13" t="s">
        <v>117</v>
      </c>
      <c r="J12" s="13" t="s">
        <v>181</v>
      </c>
      <c r="K12" s="13" t="s">
        <v>182</v>
      </c>
      <c r="L12" s="13" t="s">
        <v>183</v>
      </c>
      <c r="M12" s="13" t="s">
        <v>43</v>
      </c>
      <c r="N12" s="13" t="s">
        <v>184</v>
      </c>
      <c r="O12" s="12" t="s">
        <v>36</v>
      </c>
      <c r="P12" s="12" t="s">
        <v>89</v>
      </c>
      <c r="Q12" s="12" t="s">
        <v>122</v>
      </c>
      <c r="R12" s="12" t="s">
        <v>185</v>
      </c>
      <c r="S12" s="13" t="s">
        <v>137</v>
      </c>
    </row>
    <row r="13" customFormat="false" ht="75" hidden="false" customHeight="true" outlineLevel="0" collapsed="false">
      <c r="A13" s="14" t="s">
        <v>186</v>
      </c>
      <c r="B13" s="14" t="s">
        <v>20</v>
      </c>
      <c r="C13" s="15" t="s">
        <v>20</v>
      </c>
      <c r="D13" s="15" t="s">
        <v>187</v>
      </c>
      <c r="E13" s="14" t="s">
        <v>23</v>
      </c>
      <c r="F13" s="14" t="s">
        <v>15</v>
      </c>
      <c r="G13" s="14" t="s">
        <v>33</v>
      </c>
      <c r="H13" s="15" t="s">
        <v>55</v>
      </c>
      <c r="I13" s="15" t="s">
        <v>126</v>
      </c>
      <c r="J13" s="15" t="s">
        <v>188</v>
      </c>
      <c r="K13" s="15" t="s">
        <v>189</v>
      </c>
      <c r="L13" s="15" t="s">
        <v>190</v>
      </c>
      <c r="M13" s="15" t="s">
        <v>43</v>
      </c>
      <c r="N13" s="15" t="s">
        <v>191</v>
      </c>
      <c r="O13" s="14" t="s">
        <v>36</v>
      </c>
      <c r="P13" s="14" t="s">
        <v>89</v>
      </c>
      <c r="Q13" s="14" t="s">
        <v>122</v>
      </c>
      <c r="R13" s="14" t="s">
        <v>192</v>
      </c>
      <c r="S13" s="15" t="s">
        <v>137</v>
      </c>
    </row>
    <row r="14" customFormat="false" ht="75" hidden="false" customHeight="true" outlineLevel="0" collapsed="false">
      <c r="A14" s="12" t="s">
        <v>193</v>
      </c>
      <c r="B14" s="12" t="s">
        <v>20</v>
      </c>
      <c r="C14" s="13" t="s">
        <v>20</v>
      </c>
      <c r="D14" s="13" t="s">
        <v>194</v>
      </c>
      <c r="E14" s="12" t="s">
        <v>23</v>
      </c>
      <c r="F14" s="12" t="s">
        <v>15</v>
      </c>
      <c r="G14" s="12" t="s">
        <v>33</v>
      </c>
      <c r="H14" s="13" t="s">
        <v>55</v>
      </c>
      <c r="I14" s="13" t="s">
        <v>126</v>
      </c>
      <c r="J14" s="13" t="s">
        <v>195</v>
      </c>
      <c r="K14" s="13" t="s">
        <v>196</v>
      </c>
      <c r="L14" s="13" t="s">
        <v>197</v>
      </c>
      <c r="M14" s="13" t="s">
        <v>43</v>
      </c>
      <c r="N14" s="13" t="s">
        <v>198</v>
      </c>
      <c r="O14" s="12" t="s">
        <v>36</v>
      </c>
      <c r="P14" s="12" t="s">
        <v>89</v>
      </c>
      <c r="Q14" s="12" t="s">
        <v>122</v>
      </c>
      <c r="R14" s="12" t="s">
        <v>199</v>
      </c>
      <c r="S14" s="13" t="s">
        <v>137</v>
      </c>
    </row>
    <row r="15" customFormat="false" ht="75" hidden="false" customHeight="true" outlineLevel="0" collapsed="false">
      <c r="A15" s="14" t="s">
        <v>200</v>
      </c>
      <c r="B15" s="14" t="s">
        <v>20</v>
      </c>
      <c r="C15" s="15" t="s">
        <v>20</v>
      </c>
      <c r="D15" s="15" t="s">
        <v>201</v>
      </c>
      <c r="E15" s="14" t="s">
        <v>24</v>
      </c>
      <c r="F15" s="14" t="s">
        <v>14</v>
      </c>
      <c r="G15" s="14" t="s">
        <v>32</v>
      </c>
      <c r="H15" s="15" t="s">
        <v>55</v>
      </c>
      <c r="I15" s="15" t="s">
        <v>126</v>
      </c>
      <c r="J15" s="15" t="s">
        <v>202</v>
      </c>
      <c r="K15" s="15" t="s">
        <v>203</v>
      </c>
      <c r="L15" s="15" t="s">
        <v>204</v>
      </c>
      <c r="M15" s="15" t="s">
        <v>18</v>
      </c>
      <c r="N15" s="15" t="s">
        <v>205</v>
      </c>
      <c r="O15" s="14" t="s">
        <v>34</v>
      </c>
      <c r="P15" s="14" t="s">
        <v>89</v>
      </c>
      <c r="Q15" s="14" t="s">
        <v>122</v>
      </c>
      <c r="R15" s="14"/>
      <c r="S15" s="15" t="s">
        <v>137</v>
      </c>
    </row>
    <row r="16" customFormat="false" ht="61.5" hidden="false" customHeight="true" outlineLevel="0" collapsed="false">
      <c r="A16" s="12" t="s">
        <v>206</v>
      </c>
      <c r="B16" s="12" t="s">
        <v>20</v>
      </c>
      <c r="C16" s="13" t="s">
        <v>20</v>
      </c>
      <c r="D16" s="13" t="s">
        <v>207</v>
      </c>
      <c r="E16" s="12" t="s">
        <v>23</v>
      </c>
      <c r="F16" s="12" t="s">
        <v>15</v>
      </c>
      <c r="G16" s="12" t="s">
        <v>33</v>
      </c>
      <c r="H16" s="13" t="s">
        <v>55</v>
      </c>
      <c r="I16" s="13" t="s">
        <v>117</v>
      </c>
      <c r="J16" s="13" t="s">
        <v>208</v>
      </c>
      <c r="K16" s="13" t="s">
        <v>209</v>
      </c>
      <c r="L16" s="13" t="s">
        <v>210</v>
      </c>
      <c r="M16" s="13" t="s">
        <v>18</v>
      </c>
      <c r="N16" s="13" t="s">
        <v>211</v>
      </c>
      <c r="O16" s="12" t="s">
        <v>34</v>
      </c>
      <c r="P16" s="12" t="s">
        <v>89</v>
      </c>
      <c r="Q16" s="12" t="s">
        <v>122</v>
      </c>
      <c r="R16" s="12"/>
      <c r="S16" s="13" t="s">
        <v>123</v>
      </c>
    </row>
    <row r="17" customFormat="false" ht="75" hidden="false" customHeight="true" outlineLevel="0" collapsed="false">
      <c r="A17" s="14" t="s">
        <v>212</v>
      </c>
      <c r="B17" s="14" t="s">
        <v>20</v>
      </c>
      <c r="C17" s="15" t="s">
        <v>20</v>
      </c>
      <c r="D17" s="15" t="s">
        <v>213</v>
      </c>
      <c r="E17" s="14" t="s">
        <v>23</v>
      </c>
      <c r="F17" s="14" t="s">
        <v>16</v>
      </c>
      <c r="G17" s="14" t="s">
        <v>33</v>
      </c>
      <c r="H17" s="15" t="s">
        <v>55</v>
      </c>
      <c r="I17" s="15" t="s">
        <v>117</v>
      </c>
      <c r="J17" s="15" t="s">
        <v>214</v>
      </c>
      <c r="K17" s="15" t="s">
        <v>215</v>
      </c>
      <c r="L17" s="15" t="s">
        <v>216</v>
      </c>
      <c r="M17" s="15" t="s">
        <v>18</v>
      </c>
      <c r="N17" s="15" t="s">
        <v>217</v>
      </c>
      <c r="O17" s="14" t="s">
        <v>34</v>
      </c>
      <c r="P17" s="14" t="s">
        <v>89</v>
      </c>
      <c r="Q17" s="14" t="s">
        <v>122</v>
      </c>
      <c r="R17" s="14"/>
      <c r="S17" s="15" t="s">
        <v>137</v>
      </c>
    </row>
    <row r="18" customFormat="false" ht="61.5" hidden="false" customHeight="true" outlineLevel="0" collapsed="false">
      <c r="A18" s="12" t="s">
        <v>218</v>
      </c>
      <c r="B18" s="12" t="s">
        <v>20</v>
      </c>
      <c r="C18" s="13" t="s">
        <v>20</v>
      </c>
      <c r="D18" s="13" t="s">
        <v>219</v>
      </c>
      <c r="E18" s="12" t="s">
        <v>24</v>
      </c>
      <c r="F18" s="12" t="s">
        <v>14</v>
      </c>
      <c r="G18" s="12" t="s">
        <v>32</v>
      </c>
      <c r="H18" s="13" t="s">
        <v>55</v>
      </c>
      <c r="I18" s="13" t="s">
        <v>117</v>
      </c>
      <c r="J18" s="13" t="s">
        <v>220</v>
      </c>
      <c r="K18" s="13" t="s">
        <v>221</v>
      </c>
      <c r="L18" s="13" t="s">
        <v>222</v>
      </c>
      <c r="M18" s="13" t="s">
        <v>18</v>
      </c>
      <c r="N18" s="13" t="s">
        <v>223</v>
      </c>
      <c r="O18" s="12" t="s">
        <v>34</v>
      </c>
      <c r="P18" s="12" t="s">
        <v>89</v>
      </c>
      <c r="Q18" s="12" t="s">
        <v>122</v>
      </c>
      <c r="R18" s="12"/>
      <c r="S18" s="13" t="s">
        <v>224</v>
      </c>
    </row>
    <row r="19" customFormat="false" ht="75" hidden="false" customHeight="true" outlineLevel="0" collapsed="false">
      <c r="A19" s="14" t="s">
        <v>225</v>
      </c>
      <c r="B19" s="14" t="s">
        <v>20</v>
      </c>
      <c r="C19" s="15" t="s">
        <v>20</v>
      </c>
      <c r="D19" s="15" t="s">
        <v>226</v>
      </c>
      <c r="E19" s="14" t="s">
        <v>24</v>
      </c>
      <c r="F19" s="14" t="s">
        <v>14</v>
      </c>
      <c r="G19" s="14" t="s">
        <v>32</v>
      </c>
      <c r="H19" s="15" t="s">
        <v>55</v>
      </c>
      <c r="I19" s="15" t="s">
        <v>227</v>
      </c>
      <c r="J19" s="15" t="s">
        <v>228</v>
      </c>
      <c r="K19" s="15" t="s">
        <v>155</v>
      </c>
      <c r="L19" s="15" t="s">
        <v>229</v>
      </c>
      <c r="M19" s="15" t="s">
        <v>43</v>
      </c>
      <c r="N19" s="15" t="s">
        <v>230</v>
      </c>
      <c r="O19" s="14" t="s">
        <v>36</v>
      </c>
      <c r="P19" s="14" t="s">
        <v>89</v>
      </c>
      <c r="Q19" s="14" t="s">
        <v>122</v>
      </c>
      <c r="R19" s="14" t="s">
        <v>231</v>
      </c>
      <c r="S19" s="15" t="s">
        <v>224</v>
      </c>
    </row>
    <row r="20" customFormat="false" ht="61.5" hidden="false" customHeight="true" outlineLevel="0" collapsed="false">
      <c r="A20" s="12" t="s">
        <v>232</v>
      </c>
      <c r="B20" s="12" t="s">
        <v>20</v>
      </c>
      <c r="C20" s="13" t="s">
        <v>20</v>
      </c>
      <c r="D20" s="13" t="s">
        <v>233</v>
      </c>
      <c r="E20" s="12" t="s">
        <v>23</v>
      </c>
      <c r="F20" s="12" t="s">
        <v>15</v>
      </c>
      <c r="G20" s="12" t="s">
        <v>33</v>
      </c>
      <c r="H20" s="13" t="s">
        <v>55</v>
      </c>
      <c r="I20" s="13" t="s">
        <v>126</v>
      </c>
      <c r="J20" s="13" t="s">
        <v>234</v>
      </c>
      <c r="K20" s="13" t="s">
        <v>149</v>
      </c>
      <c r="L20" s="13" t="s">
        <v>235</v>
      </c>
      <c r="M20" s="13" t="s">
        <v>43</v>
      </c>
      <c r="N20" s="13" t="s">
        <v>236</v>
      </c>
      <c r="O20" s="12" t="s">
        <v>36</v>
      </c>
      <c r="P20" s="12" t="s">
        <v>89</v>
      </c>
      <c r="Q20" s="12" t="s">
        <v>122</v>
      </c>
      <c r="R20" s="12" t="s">
        <v>237</v>
      </c>
      <c r="S20" s="13" t="s">
        <v>137</v>
      </c>
    </row>
    <row r="21" customFormat="false" ht="75" hidden="false" customHeight="true" outlineLevel="0" collapsed="false">
      <c r="A21" s="14" t="s">
        <v>238</v>
      </c>
      <c r="B21" s="14" t="s">
        <v>20</v>
      </c>
      <c r="C21" s="15" t="s">
        <v>20</v>
      </c>
      <c r="D21" s="15" t="s">
        <v>239</v>
      </c>
      <c r="E21" s="14" t="s">
        <v>26</v>
      </c>
      <c r="F21" s="14" t="s">
        <v>13</v>
      </c>
      <c r="G21" s="14" t="s">
        <v>33</v>
      </c>
      <c r="H21" s="15" t="s">
        <v>55</v>
      </c>
      <c r="I21" s="15" t="s">
        <v>126</v>
      </c>
      <c r="J21" s="15" t="s">
        <v>240</v>
      </c>
      <c r="K21" s="15" t="s">
        <v>149</v>
      </c>
      <c r="L21" s="15" t="s">
        <v>241</v>
      </c>
      <c r="M21" s="15" t="s">
        <v>43</v>
      </c>
      <c r="N21" s="15" t="s">
        <v>242</v>
      </c>
      <c r="O21" s="14" t="s">
        <v>36</v>
      </c>
      <c r="P21" s="14" t="s">
        <v>89</v>
      </c>
      <c r="Q21" s="14" t="s">
        <v>122</v>
      </c>
      <c r="R21" s="14" t="s">
        <v>243</v>
      </c>
      <c r="S21" s="15" t="s">
        <v>137</v>
      </c>
    </row>
    <row r="22" customFormat="false" ht="61.5" hidden="false" customHeight="true" outlineLevel="0" collapsed="false">
      <c r="A22" s="12" t="s">
        <v>244</v>
      </c>
      <c r="B22" s="12" t="s">
        <v>20</v>
      </c>
      <c r="C22" s="13" t="s">
        <v>20</v>
      </c>
      <c r="D22" s="13" t="s">
        <v>245</v>
      </c>
      <c r="E22" s="12" t="s">
        <v>26</v>
      </c>
      <c r="F22" s="12" t="s">
        <v>15</v>
      </c>
      <c r="G22" s="12" t="s">
        <v>33</v>
      </c>
      <c r="H22" s="13" t="s">
        <v>55</v>
      </c>
      <c r="I22" s="13" t="s">
        <v>117</v>
      </c>
      <c r="J22" s="13" t="s">
        <v>246</v>
      </c>
      <c r="K22" s="13" t="s">
        <v>247</v>
      </c>
      <c r="L22" s="13" t="s">
        <v>248</v>
      </c>
      <c r="M22" s="13" t="s">
        <v>43</v>
      </c>
      <c r="N22" s="13" t="s">
        <v>249</v>
      </c>
      <c r="O22" s="12" t="s">
        <v>36</v>
      </c>
      <c r="P22" s="12" t="s">
        <v>89</v>
      </c>
      <c r="Q22" s="12" t="s">
        <v>122</v>
      </c>
      <c r="R22" s="12" t="s">
        <v>250</v>
      </c>
      <c r="S22" s="13" t="s">
        <v>137</v>
      </c>
    </row>
    <row r="23" customFormat="false" ht="100.5" hidden="false" customHeight="true" outlineLevel="0" collapsed="false">
      <c r="A23" s="14" t="s">
        <v>251</v>
      </c>
      <c r="B23" s="14" t="s">
        <v>20</v>
      </c>
      <c r="C23" s="15" t="s">
        <v>20</v>
      </c>
      <c r="D23" s="15" t="s">
        <v>252</v>
      </c>
      <c r="E23" s="14" t="s">
        <v>26</v>
      </c>
      <c r="F23" s="14" t="s">
        <v>13</v>
      </c>
      <c r="G23" s="14" t="s">
        <v>32</v>
      </c>
      <c r="H23" s="15" t="s">
        <v>51</v>
      </c>
      <c r="I23" s="15" t="s">
        <v>253</v>
      </c>
      <c r="J23" s="15" t="s">
        <v>254</v>
      </c>
      <c r="K23" s="15" t="s">
        <v>149</v>
      </c>
      <c r="L23" s="15" t="s">
        <v>255</v>
      </c>
      <c r="M23" s="15" t="s">
        <v>18</v>
      </c>
      <c r="N23" s="15" t="s">
        <v>256</v>
      </c>
      <c r="O23" s="14" t="s">
        <v>34</v>
      </c>
      <c r="P23" s="14" t="s">
        <v>89</v>
      </c>
      <c r="Q23" s="14" t="s">
        <v>257</v>
      </c>
      <c r="R23" s="14"/>
      <c r="S23" s="15" t="s">
        <v>137</v>
      </c>
    </row>
    <row r="24" customFormat="false" ht="36" hidden="false" customHeight="true" outlineLevel="0" collapsed="false">
      <c r="A24" s="12" t="s">
        <v>258</v>
      </c>
      <c r="B24" s="12" t="s">
        <v>20</v>
      </c>
      <c r="C24" s="13" t="s">
        <v>259</v>
      </c>
      <c r="D24" s="13" t="s">
        <v>260</v>
      </c>
      <c r="E24" s="12" t="s">
        <v>23</v>
      </c>
      <c r="F24" s="12" t="s">
        <v>13</v>
      </c>
      <c r="G24" s="12" t="s">
        <v>31</v>
      </c>
      <c r="H24" s="13" t="s">
        <v>53</v>
      </c>
      <c r="I24" s="13" t="s">
        <v>261</v>
      </c>
      <c r="J24" s="13" t="s">
        <v>262</v>
      </c>
      <c r="K24" s="13" t="s">
        <v>134</v>
      </c>
      <c r="L24" s="13" t="s">
        <v>263</v>
      </c>
      <c r="M24" s="13" t="s">
        <v>18</v>
      </c>
      <c r="N24" s="13" t="s">
        <v>264</v>
      </c>
      <c r="O24" s="12" t="s">
        <v>34</v>
      </c>
      <c r="P24" s="12" t="s">
        <v>89</v>
      </c>
      <c r="Q24" s="12" t="s">
        <v>144</v>
      </c>
      <c r="R24" s="12"/>
      <c r="S24" s="13" t="s">
        <v>265</v>
      </c>
    </row>
    <row r="25" customFormat="false" ht="61.5" hidden="false" customHeight="true" outlineLevel="0" collapsed="false">
      <c r="A25" s="14" t="s">
        <v>266</v>
      </c>
      <c r="B25" s="14" t="s">
        <v>20</v>
      </c>
      <c r="C25" s="15" t="s">
        <v>259</v>
      </c>
      <c r="D25" s="15" t="s">
        <v>267</v>
      </c>
      <c r="E25" s="14" t="s">
        <v>23</v>
      </c>
      <c r="F25" s="14" t="s">
        <v>13</v>
      </c>
      <c r="G25" s="14" t="s">
        <v>32</v>
      </c>
      <c r="H25" s="15" t="s">
        <v>53</v>
      </c>
      <c r="I25" s="15" t="s">
        <v>261</v>
      </c>
      <c r="J25" s="15" t="s">
        <v>268</v>
      </c>
      <c r="K25" s="15" t="s">
        <v>134</v>
      </c>
      <c r="L25" s="15" t="s">
        <v>269</v>
      </c>
      <c r="M25" s="15" t="s">
        <v>45</v>
      </c>
      <c r="N25" s="15" t="s">
        <v>270</v>
      </c>
      <c r="O25" s="14" t="s">
        <v>34</v>
      </c>
      <c r="P25" s="14" t="s">
        <v>86</v>
      </c>
      <c r="Q25" s="14" t="s">
        <v>271</v>
      </c>
      <c r="R25" s="14"/>
      <c r="S25" s="15" t="s">
        <v>272</v>
      </c>
    </row>
    <row r="26" customFormat="false" ht="61.5" hidden="false" customHeight="true" outlineLevel="0" collapsed="false">
      <c r="A26" s="12" t="s">
        <v>273</v>
      </c>
      <c r="B26" s="12" t="s">
        <v>20</v>
      </c>
      <c r="C26" s="13" t="s">
        <v>259</v>
      </c>
      <c r="D26" s="13" t="s">
        <v>274</v>
      </c>
      <c r="E26" s="12" t="s">
        <v>24</v>
      </c>
      <c r="F26" s="12" t="s">
        <v>14</v>
      </c>
      <c r="G26" s="12" t="s">
        <v>32</v>
      </c>
      <c r="H26" s="13" t="s">
        <v>55</v>
      </c>
      <c r="I26" s="13" t="s">
        <v>261</v>
      </c>
      <c r="J26" s="13" t="s">
        <v>275</v>
      </c>
      <c r="K26" s="13" t="s">
        <v>276</v>
      </c>
      <c r="L26" s="13" t="s">
        <v>277</v>
      </c>
      <c r="M26" s="13" t="s">
        <v>18</v>
      </c>
      <c r="N26" s="13" t="s">
        <v>278</v>
      </c>
      <c r="O26" s="12" t="s">
        <v>34</v>
      </c>
      <c r="P26" s="12" t="s">
        <v>89</v>
      </c>
      <c r="Q26" s="12" t="s">
        <v>122</v>
      </c>
      <c r="R26" s="12"/>
      <c r="S26" s="13" t="s">
        <v>224</v>
      </c>
    </row>
    <row r="27" customFormat="false" ht="48.75" hidden="false" customHeight="true" outlineLevel="0" collapsed="false">
      <c r="A27" s="14" t="s">
        <v>279</v>
      </c>
      <c r="B27" s="14" t="s">
        <v>20</v>
      </c>
      <c r="C27" s="15" t="s">
        <v>259</v>
      </c>
      <c r="D27" s="15" t="s">
        <v>280</v>
      </c>
      <c r="E27" s="14" t="s">
        <v>24</v>
      </c>
      <c r="F27" s="14" t="s">
        <v>14</v>
      </c>
      <c r="G27" s="14" t="s">
        <v>31</v>
      </c>
      <c r="H27" s="15" t="s">
        <v>55</v>
      </c>
      <c r="I27" s="15" t="s">
        <v>261</v>
      </c>
      <c r="J27" s="15" t="s">
        <v>281</v>
      </c>
      <c r="K27" s="15" t="s">
        <v>134</v>
      </c>
      <c r="L27" s="15" t="s">
        <v>282</v>
      </c>
      <c r="M27" s="15" t="s">
        <v>43</v>
      </c>
      <c r="N27" s="15" t="s">
        <v>283</v>
      </c>
      <c r="O27" s="14" t="s">
        <v>36</v>
      </c>
      <c r="P27" s="14" t="s">
        <v>89</v>
      </c>
      <c r="Q27" s="14" t="s">
        <v>122</v>
      </c>
      <c r="R27" s="14" t="s">
        <v>284</v>
      </c>
      <c r="S27" s="15" t="s">
        <v>285</v>
      </c>
    </row>
    <row r="28" customFormat="false" ht="48.75" hidden="false" customHeight="true" outlineLevel="0" collapsed="false">
      <c r="A28" s="12" t="s">
        <v>286</v>
      </c>
      <c r="B28" s="12" t="s">
        <v>20</v>
      </c>
      <c r="C28" s="13" t="s">
        <v>259</v>
      </c>
      <c r="D28" s="13" t="s">
        <v>287</v>
      </c>
      <c r="E28" s="12" t="s">
        <v>24</v>
      </c>
      <c r="F28" s="12" t="s">
        <v>14</v>
      </c>
      <c r="G28" s="12" t="s">
        <v>32</v>
      </c>
      <c r="H28" s="13" t="s">
        <v>55</v>
      </c>
      <c r="I28" s="13" t="s">
        <v>261</v>
      </c>
      <c r="J28" s="13" t="s">
        <v>288</v>
      </c>
      <c r="K28" s="13" t="s">
        <v>134</v>
      </c>
      <c r="L28" s="13" t="s">
        <v>289</v>
      </c>
      <c r="M28" s="13" t="s">
        <v>43</v>
      </c>
      <c r="N28" s="13" t="s">
        <v>290</v>
      </c>
      <c r="O28" s="12" t="s">
        <v>36</v>
      </c>
      <c r="P28" s="12" t="s">
        <v>89</v>
      </c>
      <c r="Q28" s="12" t="s">
        <v>122</v>
      </c>
      <c r="R28" s="12" t="s">
        <v>291</v>
      </c>
      <c r="S28" s="13" t="s">
        <v>285</v>
      </c>
    </row>
    <row r="29" customFormat="false" ht="75" hidden="false" customHeight="true" outlineLevel="0" collapsed="false">
      <c r="A29" s="14" t="s">
        <v>292</v>
      </c>
      <c r="B29" s="14" t="s">
        <v>20</v>
      </c>
      <c r="C29" s="15" t="s">
        <v>259</v>
      </c>
      <c r="D29" s="15" t="s">
        <v>293</v>
      </c>
      <c r="E29" s="14" t="s">
        <v>24</v>
      </c>
      <c r="F29" s="14" t="s">
        <v>13</v>
      </c>
      <c r="G29" s="14" t="s">
        <v>32</v>
      </c>
      <c r="H29" s="15" t="s">
        <v>55</v>
      </c>
      <c r="I29" s="15" t="s">
        <v>126</v>
      </c>
      <c r="J29" s="15" t="s">
        <v>294</v>
      </c>
      <c r="K29" s="15" t="s">
        <v>134</v>
      </c>
      <c r="L29" s="15" t="s">
        <v>295</v>
      </c>
      <c r="M29" s="15" t="s">
        <v>18</v>
      </c>
      <c r="N29" s="15" t="s">
        <v>296</v>
      </c>
      <c r="O29" s="14" t="s">
        <v>34</v>
      </c>
      <c r="P29" s="14" t="s">
        <v>89</v>
      </c>
      <c r="Q29" s="14" t="s">
        <v>122</v>
      </c>
      <c r="R29" s="14"/>
      <c r="S29" s="15" t="s">
        <v>224</v>
      </c>
    </row>
    <row r="30" customFormat="false" ht="75" hidden="false" customHeight="true" outlineLevel="0" collapsed="false">
      <c r="A30" s="12" t="s">
        <v>297</v>
      </c>
      <c r="B30" s="12" t="s">
        <v>20</v>
      </c>
      <c r="C30" s="13" t="s">
        <v>259</v>
      </c>
      <c r="D30" s="13" t="s">
        <v>298</v>
      </c>
      <c r="E30" s="12" t="s">
        <v>24</v>
      </c>
      <c r="F30" s="12" t="s">
        <v>14</v>
      </c>
      <c r="G30" s="12" t="s">
        <v>32</v>
      </c>
      <c r="H30" s="13" t="s">
        <v>55</v>
      </c>
      <c r="I30" s="13" t="s">
        <v>126</v>
      </c>
      <c r="J30" s="13" t="s">
        <v>299</v>
      </c>
      <c r="K30" s="13" t="s">
        <v>134</v>
      </c>
      <c r="L30" s="13" t="s">
        <v>300</v>
      </c>
      <c r="M30" s="13" t="s">
        <v>43</v>
      </c>
      <c r="N30" s="13" t="s">
        <v>301</v>
      </c>
      <c r="O30" s="12" t="s">
        <v>36</v>
      </c>
      <c r="P30" s="12" t="s">
        <v>89</v>
      </c>
      <c r="Q30" s="12" t="s">
        <v>122</v>
      </c>
      <c r="R30" s="12" t="s">
        <v>302</v>
      </c>
      <c r="S30" s="13" t="s">
        <v>224</v>
      </c>
    </row>
    <row r="31" customFormat="false" ht="48.75" hidden="false" customHeight="true" outlineLevel="0" collapsed="false">
      <c r="A31" s="14" t="s">
        <v>303</v>
      </c>
      <c r="B31" s="14" t="s">
        <v>20</v>
      </c>
      <c r="C31" s="15" t="s">
        <v>304</v>
      </c>
      <c r="D31" s="15" t="s">
        <v>305</v>
      </c>
      <c r="E31" s="14" t="s">
        <v>23</v>
      </c>
      <c r="F31" s="14" t="s">
        <v>13</v>
      </c>
      <c r="G31" s="14" t="s">
        <v>31</v>
      </c>
      <c r="H31" s="15" t="s">
        <v>53</v>
      </c>
      <c r="I31" s="15" t="s">
        <v>261</v>
      </c>
      <c r="J31" s="15" t="s">
        <v>306</v>
      </c>
      <c r="K31" s="15" t="s">
        <v>134</v>
      </c>
      <c r="L31" s="15" t="s">
        <v>307</v>
      </c>
      <c r="M31" s="15" t="s">
        <v>18</v>
      </c>
      <c r="N31" s="15" t="s">
        <v>308</v>
      </c>
      <c r="O31" s="14" t="s">
        <v>34</v>
      </c>
      <c r="P31" s="14" t="s">
        <v>89</v>
      </c>
      <c r="Q31" s="14" t="s">
        <v>144</v>
      </c>
      <c r="R31" s="14"/>
      <c r="S31" s="15" t="s">
        <v>265</v>
      </c>
    </row>
    <row r="32" customFormat="false" ht="61.5" hidden="false" customHeight="true" outlineLevel="0" collapsed="false">
      <c r="A32" s="12" t="s">
        <v>309</v>
      </c>
      <c r="B32" s="12" t="s">
        <v>20</v>
      </c>
      <c r="C32" s="13" t="s">
        <v>304</v>
      </c>
      <c r="D32" s="13" t="s">
        <v>310</v>
      </c>
      <c r="E32" s="12" t="s">
        <v>24</v>
      </c>
      <c r="F32" s="12" t="s">
        <v>15</v>
      </c>
      <c r="G32" s="12" t="s">
        <v>32</v>
      </c>
      <c r="H32" s="13" t="s">
        <v>55</v>
      </c>
      <c r="I32" s="13" t="s">
        <v>261</v>
      </c>
      <c r="J32" s="13" t="s">
        <v>311</v>
      </c>
      <c r="K32" s="13" t="s">
        <v>134</v>
      </c>
      <c r="L32" s="13" t="s">
        <v>312</v>
      </c>
      <c r="M32" s="13" t="s">
        <v>18</v>
      </c>
      <c r="N32" s="13" t="s">
        <v>313</v>
      </c>
      <c r="O32" s="12" t="s">
        <v>34</v>
      </c>
      <c r="P32" s="12" t="s">
        <v>89</v>
      </c>
      <c r="Q32" s="12" t="s">
        <v>122</v>
      </c>
      <c r="R32" s="12"/>
      <c r="S32" s="13" t="s">
        <v>265</v>
      </c>
    </row>
    <row r="33" customFormat="false" ht="48.75" hidden="false" customHeight="true" outlineLevel="0" collapsed="false">
      <c r="A33" s="14" t="s">
        <v>314</v>
      </c>
      <c r="B33" s="14" t="s">
        <v>20</v>
      </c>
      <c r="C33" s="15" t="s">
        <v>20</v>
      </c>
      <c r="D33" s="15" t="s">
        <v>315</v>
      </c>
      <c r="E33" s="14" t="s">
        <v>25</v>
      </c>
      <c r="F33" s="14" t="s">
        <v>13</v>
      </c>
      <c r="G33" s="14" t="s">
        <v>32</v>
      </c>
      <c r="H33" s="15" t="s">
        <v>53</v>
      </c>
      <c r="I33" s="15" t="s">
        <v>316</v>
      </c>
      <c r="J33" s="15" t="s">
        <v>317</v>
      </c>
      <c r="K33" s="15" t="s">
        <v>318</v>
      </c>
      <c r="L33" s="15" t="s">
        <v>319</v>
      </c>
      <c r="M33" s="15" t="s">
        <v>18</v>
      </c>
      <c r="N33" s="15" t="s">
        <v>320</v>
      </c>
      <c r="O33" s="14" t="s">
        <v>34</v>
      </c>
      <c r="P33" s="14" t="s">
        <v>89</v>
      </c>
      <c r="Q33" s="14" t="s">
        <v>321</v>
      </c>
      <c r="R33" s="14"/>
      <c r="S33" s="15" t="s">
        <v>322</v>
      </c>
    </row>
    <row r="34" customFormat="false" ht="48.75" hidden="false" customHeight="true" outlineLevel="0" collapsed="false">
      <c r="A34" s="12" t="s">
        <v>323</v>
      </c>
      <c r="B34" s="12" t="s">
        <v>20</v>
      </c>
      <c r="C34" s="13" t="s">
        <v>20</v>
      </c>
      <c r="D34" s="13" t="s">
        <v>324</v>
      </c>
      <c r="E34" s="12" t="s">
        <v>25</v>
      </c>
      <c r="F34" s="12" t="s">
        <v>14</v>
      </c>
      <c r="G34" s="12" t="s">
        <v>32</v>
      </c>
      <c r="H34" s="13" t="s">
        <v>53</v>
      </c>
      <c r="I34" s="13" t="s">
        <v>316</v>
      </c>
      <c r="J34" s="13" t="s">
        <v>317</v>
      </c>
      <c r="K34" s="13" t="s">
        <v>325</v>
      </c>
      <c r="L34" s="13" t="s">
        <v>326</v>
      </c>
      <c r="M34" s="13" t="s">
        <v>18</v>
      </c>
      <c r="N34" s="13" t="s">
        <v>327</v>
      </c>
      <c r="O34" s="12" t="s">
        <v>34</v>
      </c>
      <c r="P34" s="12" t="s">
        <v>89</v>
      </c>
      <c r="Q34" s="12" t="s">
        <v>321</v>
      </c>
      <c r="R34" s="12"/>
      <c r="S34" s="13" t="s">
        <v>322</v>
      </c>
    </row>
    <row r="35" customFormat="false" ht="48.75" hidden="false" customHeight="true" outlineLevel="0" collapsed="false">
      <c r="A35" s="14" t="s">
        <v>328</v>
      </c>
      <c r="B35" s="14" t="s">
        <v>20</v>
      </c>
      <c r="C35" s="15" t="s">
        <v>259</v>
      </c>
      <c r="D35" s="15" t="s">
        <v>329</v>
      </c>
      <c r="E35" s="14" t="s">
        <v>25</v>
      </c>
      <c r="F35" s="14" t="s">
        <v>14</v>
      </c>
      <c r="G35" s="14" t="s">
        <v>33</v>
      </c>
      <c r="H35" s="15" t="s">
        <v>55</v>
      </c>
      <c r="I35" s="15" t="s">
        <v>134</v>
      </c>
      <c r="J35" s="15" t="s">
        <v>330</v>
      </c>
      <c r="K35" s="15" t="s">
        <v>331</v>
      </c>
      <c r="L35" s="15" t="s">
        <v>332</v>
      </c>
      <c r="M35" s="15" t="s">
        <v>43</v>
      </c>
      <c r="N35" s="15" t="s">
        <v>333</v>
      </c>
      <c r="O35" s="14" t="s">
        <v>36</v>
      </c>
      <c r="P35" s="14" t="s">
        <v>89</v>
      </c>
      <c r="Q35" s="14" t="s">
        <v>321</v>
      </c>
      <c r="R35" s="14" t="s">
        <v>334</v>
      </c>
      <c r="S35" s="15" t="s">
        <v>322</v>
      </c>
    </row>
    <row r="36" customFormat="false" ht="48.75" hidden="false" customHeight="true" outlineLevel="0" collapsed="false">
      <c r="A36" s="12" t="s">
        <v>335</v>
      </c>
      <c r="B36" s="12" t="s">
        <v>21</v>
      </c>
      <c r="C36" s="13" t="s">
        <v>336</v>
      </c>
      <c r="D36" s="13" t="s">
        <v>337</v>
      </c>
      <c r="E36" s="12" t="s">
        <v>23</v>
      </c>
      <c r="F36" s="12" t="s">
        <v>13</v>
      </c>
      <c r="G36" s="12" t="s">
        <v>32</v>
      </c>
      <c r="H36" s="13" t="s">
        <v>53</v>
      </c>
      <c r="I36" s="13" t="s">
        <v>134</v>
      </c>
      <c r="J36" s="13" t="s">
        <v>338</v>
      </c>
      <c r="K36" s="13" t="s">
        <v>339</v>
      </c>
      <c r="L36" s="13" t="s">
        <v>340</v>
      </c>
      <c r="M36" s="13" t="s">
        <v>45</v>
      </c>
      <c r="N36" s="13" t="s">
        <v>341</v>
      </c>
      <c r="O36" s="12" t="s">
        <v>34</v>
      </c>
      <c r="P36" s="12" t="s">
        <v>86</v>
      </c>
      <c r="Q36" s="12" t="s">
        <v>271</v>
      </c>
      <c r="R36" s="12"/>
      <c r="S36" s="13" t="s">
        <v>272</v>
      </c>
    </row>
    <row r="37" customFormat="false" ht="114" hidden="false" customHeight="true" outlineLevel="0" collapsed="false">
      <c r="A37" s="14" t="s">
        <v>342</v>
      </c>
      <c r="B37" s="14" t="s">
        <v>21</v>
      </c>
      <c r="C37" s="15" t="s">
        <v>336</v>
      </c>
      <c r="D37" s="15" t="s">
        <v>343</v>
      </c>
      <c r="E37" s="14" t="s">
        <v>23</v>
      </c>
      <c r="F37" s="14" t="s">
        <v>13</v>
      </c>
      <c r="G37" s="14" t="s">
        <v>31</v>
      </c>
      <c r="H37" s="15" t="s">
        <v>55</v>
      </c>
      <c r="I37" s="15" t="s">
        <v>344</v>
      </c>
      <c r="J37" s="15" t="s">
        <v>345</v>
      </c>
      <c r="K37" s="15" t="s">
        <v>346</v>
      </c>
      <c r="L37" s="15" t="s">
        <v>347</v>
      </c>
      <c r="M37" s="15" t="s">
        <v>45</v>
      </c>
      <c r="N37" s="15" t="s">
        <v>348</v>
      </c>
      <c r="O37" s="14" t="s">
        <v>34</v>
      </c>
      <c r="P37" s="14" t="s">
        <v>86</v>
      </c>
      <c r="Q37" s="14" t="s">
        <v>271</v>
      </c>
      <c r="R37" s="14"/>
      <c r="S37" s="15" t="s">
        <v>272</v>
      </c>
    </row>
    <row r="38" customFormat="false" ht="61.5" hidden="false" customHeight="true" outlineLevel="0" collapsed="false">
      <c r="A38" s="12" t="s">
        <v>349</v>
      </c>
      <c r="B38" s="12" t="s">
        <v>21</v>
      </c>
      <c r="C38" s="13" t="s">
        <v>336</v>
      </c>
      <c r="D38" s="13" t="s">
        <v>350</v>
      </c>
      <c r="E38" s="12" t="s">
        <v>23</v>
      </c>
      <c r="F38" s="12" t="s">
        <v>14</v>
      </c>
      <c r="G38" s="12" t="s">
        <v>33</v>
      </c>
      <c r="H38" s="13" t="s">
        <v>55</v>
      </c>
      <c r="I38" s="13" t="s">
        <v>134</v>
      </c>
      <c r="J38" s="13" t="s">
        <v>351</v>
      </c>
      <c r="K38" s="13" t="s">
        <v>352</v>
      </c>
      <c r="L38" s="13" t="s">
        <v>353</v>
      </c>
      <c r="M38" s="13" t="s">
        <v>45</v>
      </c>
      <c r="N38" s="13" t="s">
        <v>354</v>
      </c>
      <c r="O38" s="12" t="s">
        <v>36</v>
      </c>
      <c r="P38" s="12" t="s">
        <v>86</v>
      </c>
      <c r="Q38" s="12" t="s">
        <v>271</v>
      </c>
      <c r="R38" s="12" t="s">
        <v>355</v>
      </c>
      <c r="S38" s="13" t="s">
        <v>272</v>
      </c>
    </row>
    <row r="39" customFormat="false" ht="61.5" hidden="false" customHeight="true" outlineLevel="0" collapsed="false">
      <c r="A39" s="14" t="s">
        <v>356</v>
      </c>
      <c r="B39" s="14" t="s">
        <v>21</v>
      </c>
      <c r="C39" s="15" t="s">
        <v>336</v>
      </c>
      <c r="D39" s="15" t="s">
        <v>357</v>
      </c>
      <c r="E39" s="14" t="s">
        <v>23</v>
      </c>
      <c r="F39" s="14" t="s">
        <v>14</v>
      </c>
      <c r="G39" s="14" t="s">
        <v>33</v>
      </c>
      <c r="H39" s="15" t="s">
        <v>55</v>
      </c>
      <c r="I39" s="15" t="s">
        <v>134</v>
      </c>
      <c r="J39" s="15" t="s">
        <v>358</v>
      </c>
      <c r="K39" s="15" t="s">
        <v>134</v>
      </c>
      <c r="L39" s="15" t="s">
        <v>359</v>
      </c>
      <c r="M39" s="15" t="s">
        <v>47</v>
      </c>
      <c r="N39" s="15" t="s">
        <v>360</v>
      </c>
      <c r="O39" s="14" t="s">
        <v>36</v>
      </c>
      <c r="P39" s="14" t="s">
        <v>86</v>
      </c>
      <c r="Q39" s="14" t="s">
        <v>271</v>
      </c>
      <c r="R39" s="14" t="s">
        <v>361</v>
      </c>
      <c r="S39" s="15" t="s">
        <v>362</v>
      </c>
    </row>
    <row r="40" customFormat="false" ht="75" hidden="false" customHeight="true" outlineLevel="0" collapsed="false">
      <c r="A40" s="12" t="s">
        <v>363</v>
      </c>
      <c r="B40" s="12" t="s">
        <v>21</v>
      </c>
      <c r="C40" s="13" t="s">
        <v>336</v>
      </c>
      <c r="D40" s="13" t="s">
        <v>364</v>
      </c>
      <c r="E40" s="12" t="s">
        <v>23</v>
      </c>
      <c r="F40" s="12" t="s">
        <v>13</v>
      </c>
      <c r="G40" s="12" t="s">
        <v>32</v>
      </c>
      <c r="H40" s="13" t="s">
        <v>53</v>
      </c>
      <c r="I40" s="13" t="s">
        <v>344</v>
      </c>
      <c r="J40" s="13" t="s">
        <v>365</v>
      </c>
      <c r="K40" s="13" t="s">
        <v>366</v>
      </c>
      <c r="L40" s="13" t="s">
        <v>367</v>
      </c>
      <c r="M40" s="13" t="s">
        <v>18</v>
      </c>
      <c r="N40" s="13" t="s">
        <v>368</v>
      </c>
      <c r="O40" s="12" t="s">
        <v>34</v>
      </c>
      <c r="P40" s="12" t="s">
        <v>89</v>
      </c>
      <c r="Q40" s="12" t="s">
        <v>122</v>
      </c>
      <c r="R40" s="12"/>
      <c r="S40" s="13" t="s">
        <v>369</v>
      </c>
    </row>
    <row r="41" customFormat="false" ht="75" hidden="false" customHeight="true" outlineLevel="0" collapsed="false">
      <c r="A41" s="14" t="s">
        <v>370</v>
      </c>
      <c r="B41" s="14" t="s">
        <v>21</v>
      </c>
      <c r="C41" s="15" t="s">
        <v>371</v>
      </c>
      <c r="D41" s="15" t="s">
        <v>372</v>
      </c>
      <c r="E41" s="14" t="s">
        <v>23</v>
      </c>
      <c r="F41" s="14" t="s">
        <v>13</v>
      </c>
      <c r="G41" s="14" t="s">
        <v>31</v>
      </c>
      <c r="H41" s="15" t="s">
        <v>51</v>
      </c>
      <c r="I41" s="15" t="s">
        <v>344</v>
      </c>
      <c r="J41" s="15" t="s">
        <v>373</v>
      </c>
      <c r="K41" s="15" t="s">
        <v>374</v>
      </c>
      <c r="L41" s="15" t="s">
        <v>375</v>
      </c>
      <c r="M41" s="15" t="s">
        <v>18</v>
      </c>
      <c r="N41" s="15" t="s">
        <v>376</v>
      </c>
      <c r="O41" s="14" t="s">
        <v>34</v>
      </c>
      <c r="P41" s="14" t="s">
        <v>89</v>
      </c>
      <c r="Q41" s="14" t="s">
        <v>144</v>
      </c>
      <c r="R41" s="14" t="s">
        <v>377</v>
      </c>
      <c r="S41" s="15" t="s">
        <v>369</v>
      </c>
    </row>
    <row r="42" customFormat="false" ht="75" hidden="false" customHeight="true" outlineLevel="0" collapsed="false">
      <c r="A42" s="12" t="s">
        <v>378</v>
      </c>
      <c r="B42" s="12" t="s">
        <v>21</v>
      </c>
      <c r="C42" s="13" t="s">
        <v>371</v>
      </c>
      <c r="D42" s="13" t="s">
        <v>379</v>
      </c>
      <c r="E42" s="12" t="s">
        <v>23</v>
      </c>
      <c r="F42" s="12" t="s">
        <v>13</v>
      </c>
      <c r="G42" s="12" t="s">
        <v>32</v>
      </c>
      <c r="H42" s="13" t="s">
        <v>53</v>
      </c>
      <c r="I42" s="13" t="s">
        <v>380</v>
      </c>
      <c r="J42" s="13" t="s">
        <v>381</v>
      </c>
      <c r="K42" s="13" t="s">
        <v>382</v>
      </c>
      <c r="L42" s="13" t="s">
        <v>383</v>
      </c>
      <c r="M42" s="13" t="s">
        <v>18</v>
      </c>
      <c r="N42" s="13" t="s">
        <v>384</v>
      </c>
      <c r="O42" s="12" t="s">
        <v>34</v>
      </c>
      <c r="P42" s="12" t="s">
        <v>89</v>
      </c>
      <c r="Q42" s="12" t="s">
        <v>122</v>
      </c>
      <c r="R42" s="12" t="s">
        <v>377</v>
      </c>
      <c r="S42" s="13" t="s">
        <v>369</v>
      </c>
    </row>
    <row r="43" customFormat="false" ht="61.5" hidden="false" customHeight="true" outlineLevel="0" collapsed="false">
      <c r="A43" s="14" t="s">
        <v>385</v>
      </c>
      <c r="B43" s="14" t="s">
        <v>21</v>
      </c>
      <c r="C43" s="15" t="s">
        <v>371</v>
      </c>
      <c r="D43" s="15" t="s">
        <v>386</v>
      </c>
      <c r="E43" s="14" t="s">
        <v>23</v>
      </c>
      <c r="F43" s="14" t="s">
        <v>13</v>
      </c>
      <c r="G43" s="14" t="s">
        <v>31</v>
      </c>
      <c r="H43" s="15" t="s">
        <v>53</v>
      </c>
      <c r="I43" s="15" t="s">
        <v>344</v>
      </c>
      <c r="J43" s="15" t="s">
        <v>387</v>
      </c>
      <c r="K43" s="15" t="s">
        <v>388</v>
      </c>
      <c r="L43" s="15" t="s">
        <v>389</v>
      </c>
      <c r="M43" s="15" t="s">
        <v>18</v>
      </c>
      <c r="N43" s="15" t="s">
        <v>390</v>
      </c>
      <c r="O43" s="14" t="s">
        <v>34</v>
      </c>
      <c r="P43" s="14" t="s">
        <v>89</v>
      </c>
      <c r="Q43" s="14" t="s">
        <v>122</v>
      </c>
      <c r="R43" s="14"/>
      <c r="S43" s="15" t="s">
        <v>369</v>
      </c>
    </row>
    <row r="44" customFormat="false" ht="61.5" hidden="false" customHeight="true" outlineLevel="0" collapsed="false">
      <c r="A44" s="12" t="s">
        <v>391</v>
      </c>
      <c r="B44" s="12" t="s">
        <v>21</v>
      </c>
      <c r="C44" s="13" t="s">
        <v>371</v>
      </c>
      <c r="D44" s="13" t="s">
        <v>392</v>
      </c>
      <c r="E44" s="12" t="s">
        <v>23</v>
      </c>
      <c r="F44" s="12" t="s">
        <v>15</v>
      </c>
      <c r="G44" s="12" t="s">
        <v>32</v>
      </c>
      <c r="H44" s="13" t="s">
        <v>53</v>
      </c>
      <c r="I44" s="13" t="s">
        <v>344</v>
      </c>
      <c r="J44" s="13" t="s">
        <v>393</v>
      </c>
      <c r="K44" s="13" t="s">
        <v>394</v>
      </c>
      <c r="L44" s="13" t="s">
        <v>395</v>
      </c>
      <c r="M44" s="13" t="s">
        <v>45</v>
      </c>
      <c r="N44" s="13" t="s">
        <v>396</v>
      </c>
      <c r="O44" s="12" t="s">
        <v>34</v>
      </c>
      <c r="P44" s="12" t="s">
        <v>86</v>
      </c>
      <c r="Q44" s="12" t="s">
        <v>271</v>
      </c>
      <c r="R44" s="12"/>
      <c r="S44" s="13" t="s">
        <v>272</v>
      </c>
    </row>
    <row r="45" customFormat="false" ht="61.5" hidden="false" customHeight="true" outlineLevel="0" collapsed="false">
      <c r="A45" s="14" t="s">
        <v>397</v>
      </c>
      <c r="B45" s="14" t="s">
        <v>21</v>
      </c>
      <c r="C45" s="15" t="s">
        <v>371</v>
      </c>
      <c r="D45" s="15" t="s">
        <v>398</v>
      </c>
      <c r="E45" s="14" t="s">
        <v>23</v>
      </c>
      <c r="F45" s="14" t="s">
        <v>13</v>
      </c>
      <c r="G45" s="14" t="s">
        <v>32</v>
      </c>
      <c r="H45" s="15" t="s">
        <v>55</v>
      </c>
      <c r="I45" s="15" t="s">
        <v>344</v>
      </c>
      <c r="J45" s="15" t="s">
        <v>399</v>
      </c>
      <c r="K45" s="15" t="s">
        <v>400</v>
      </c>
      <c r="L45" s="15" t="s">
        <v>401</v>
      </c>
      <c r="M45" s="15" t="s">
        <v>45</v>
      </c>
      <c r="N45" s="15" t="s">
        <v>402</v>
      </c>
      <c r="O45" s="14" t="s">
        <v>36</v>
      </c>
      <c r="P45" s="14" t="s">
        <v>86</v>
      </c>
      <c r="Q45" s="14" t="s">
        <v>271</v>
      </c>
      <c r="R45" s="14" t="s">
        <v>403</v>
      </c>
      <c r="S45" s="15" t="s">
        <v>272</v>
      </c>
    </row>
    <row r="46" customFormat="false" ht="75" hidden="false" customHeight="true" outlineLevel="0" collapsed="false">
      <c r="A46" s="12" t="s">
        <v>404</v>
      </c>
      <c r="B46" s="12" t="s">
        <v>21</v>
      </c>
      <c r="C46" s="13" t="s">
        <v>371</v>
      </c>
      <c r="D46" s="13" t="s">
        <v>405</v>
      </c>
      <c r="E46" s="12" t="s">
        <v>23</v>
      </c>
      <c r="F46" s="12" t="s">
        <v>15</v>
      </c>
      <c r="G46" s="12" t="s">
        <v>33</v>
      </c>
      <c r="H46" s="13" t="s">
        <v>55</v>
      </c>
      <c r="I46" s="13" t="s">
        <v>344</v>
      </c>
      <c r="J46" s="13" t="s">
        <v>406</v>
      </c>
      <c r="K46" s="13" t="s">
        <v>407</v>
      </c>
      <c r="L46" s="13" t="s">
        <v>408</v>
      </c>
      <c r="M46" s="13" t="s">
        <v>47</v>
      </c>
      <c r="N46" s="13"/>
      <c r="O46" s="12" t="s">
        <v>38</v>
      </c>
      <c r="P46" s="12"/>
      <c r="Q46" s="12"/>
      <c r="R46" s="12"/>
      <c r="S46" s="13" t="s">
        <v>409</v>
      </c>
    </row>
    <row r="47" customFormat="false" ht="36" hidden="false" customHeight="true" outlineLevel="0" collapsed="false">
      <c r="A47" s="14" t="s">
        <v>410</v>
      </c>
      <c r="B47" s="14" t="s">
        <v>21</v>
      </c>
      <c r="C47" s="15" t="s">
        <v>411</v>
      </c>
      <c r="D47" s="15" t="s">
        <v>412</v>
      </c>
      <c r="E47" s="14" t="s">
        <v>26</v>
      </c>
      <c r="F47" s="14" t="s">
        <v>15</v>
      </c>
      <c r="G47" s="14" t="s">
        <v>33</v>
      </c>
      <c r="H47" s="15" t="s">
        <v>55</v>
      </c>
      <c r="I47" s="15" t="s">
        <v>344</v>
      </c>
      <c r="J47" s="15" t="s">
        <v>413</v>
      </c>
      <c r="K47" s="15" t="s">
        <v>134</v>
      </c>
      <c r="L47" s="15" t="s">
        <v>414</v>
      </c>
      <c r="M47" s="15" t="s">
        <v>45</v>
      </c>
      <c r="N47" s="15" t="s">
        <v>415</v>
      </c>
      <c r="O47" s="14" t="s">
        <v>36</v>
      </c>
      <c r="P47" s="14" t="s">
        <v>86</v>
      </c>
      <c r="Q47" s="14" t="s">
        <v>271</v>
      </c>
      <c r="R47" s="14" t="s">
        <v>416</v>
      </c>
      <c r="S47" s="15" t="s">
        <v>272</v>
      </c>
    </row>
    <row r="48" customFormat="false" ht="48.75" hidden="false" customHeight="true" outlineLevel="0" collapsed="false">
      <c r="A48" s="12" t="s">
        <v>417</v>
      </c>
      <c r="B48" s="12" t="s">
        <v>21</v>
      </c>
      <c r="C48" s="13" t="s">
        <v>411</v>
      </c>
      <c r="D48" s="13" t="s">
        <v>418</v>
      </c>
      <c r="E48" s="12" t="s">
        <v>23</v>
      </c>
      <c r="F48" s="12" t="s">
        <v>13</v>
      </c>
      <c r="G48" s="12" t="s">
        <v>31</v>
      </c>
      <c r="H48" s="13" t="s">
        <v>53</v>
      </c>
      <c r="I48" s="13" t="s">
        <v>419</v>
      </c>
      <c r="J48" s="13" t="s">
        <v>420</v>
      </c>
      <c r="K48" s="13" t="s">
        <v>421</v>
      </c>
      <c r="L48" s="13" t="s">
        <v>422</v>
      </c>
      <c r="M48" s="13" t="s">
        <v>18</v>
      </c>
      <c r="N48" s="13" t="s">
        <v>423</v>
      </c>
      <c r="O48" s="12" t="s">
        <v>34</v>
      </c>
      <c r="P48" s="12" t="s">
        <v>89</v>
      </c>
      <c r="Q48" s="12" t="s">
        <v>122</v>
      </c>
      <c r="R48" s="12"/>
      <c r="S48" s="13" t="s">
        <v>424</v>
      </c>
    </row>
    <row r="49" customFormat="false" ht="48.75" hidden="false" customHeight="true" outlineLevel="0" collapsed="false">
      <c r="A49" s="14" t="s">
        <v>425</v>
      </c>
      <c r="B49" s="14" t="s">
        <v>21</v>
      </c>
      <c r="C49" s="15" t="s">
        <v>411</v>
      </c>
      <c r="D49" s="15" t="s">
        <v>426</v>
      </c>
      <c r="E49" s="14" t="s">
        <v>23</v>
      </c>
      <c r="F49" s="14" t="s">
        <v>13</v>
      </c>
      <c r="G49" s="14" t="s">
        <v>32</v>
      </c>
      <c r="H49" s="15" t="s">
        <v>53</v>
      </c>
      <c r="I49" s="15" t="s">
        <v>427</v>
      </c>
      <c r="J49" s="15" t="s">
        <v>428</v>
      </c>
      <c r="K49" s="15" t="s">
        <v>134</v>
      </c>
      <c r="L49" s="15" t="s">
        <v>429</v>
      </c>
      <c r="M49" s="15" t="s">
        <v>18</v>
      </c>
      <c r="N49" s="15" t="s">
        <v>430</v>
      </c>
      <c r="O49" s="14" t="s">
        <v>34</v>
      </c>
      <c r="P49" s="14" t="s">
        <v>89</v>
      </c>
      <c r="Q49" s="14" t="s">
        <v>122</v>
      </c>
      <c r="R49" s="14"/>
      <c r="S49" s="15" t="s">
        <v>424</v>
      </c>
    </row>
    <row r="50" customFormat="false" ht="61.5" hidden="false" customHeight="true" outlineLevel="0" collapsed="false">
      <c r="A50" s="12" t="s">
        <v>431</v>
      </c>
      <c r="B50" s="12" t="s">
        <v>21</v>
      </c>
      <c r="C50" s="13" t="s">
        <v>411</v>
      </c>
      <c r="D50" s="13" t="s">
        <v>432</v>
      </c>
      <c r="E50" s="12" t="s">
        <v>23</v>
      </c>
      <c r="F50" s="12" t="s">
        <v>13</v>
      </c>
      <c r="G50" s="12" t="s">
        <v>32</v>
      </c>
      <c r="H50" s="13" t="s">
        <v>53</v>
      </c>
      <c r="I50" s="13" t="s">
        <v>433</v>
      </c>
      <c r="J50" s="13" t="s">
        <v>434</v>
      </c>
      <c r="K50" s="13" t="s">
        <v>421</v>
      </c>
      <c r="L50" s="13" t="s">
        <v>435</v>
      </c>
      <c r="M50" s="13" t="s">
        <v>45</v>
      </c>
      <c r="N50" s="13" t="s">
        <v>436</v>
      </c>
      <c r="O50" s="12" t="s">
        <v>34</v>
      </c>
      <c r="P50" s="12" t="s">
        <v>86</v>
      </c>
      <c r="Q50" s="12" t="s">
        <v>271</v>
      </c>
      <c r="R50" s="12"/>
      <c r="S50" s="13" t="s">
        <v>272</v>
      </c>
    </row>
    <row r="51" customFormat="false" ht="61.5" hidden="false" customHeight="true" outlineLevel="0" collapsed="false">
      <c r="A51" s="14" t="s">
        <v>437</v>
      </c>
      <c r="B51" s="14" t="s">
        <v>21</v>
      </c>
      <c r="C51" s="15" t="s">
        <v>411</v>
      </c>
      <c r="D51" s="15" t="s">
        <v>438</v>
      </c>
      <c r="E51" s="14" t="s">
        <v>23</v>
      </c>
      <c r="F51" s="14" t="s">
        <v>16</v>
      </c>
      <c r="G51" s="14" t="s">
        <v>33</v>
      </c>
      <c r="H51" s="15" t="s">
        <v>53</v>
      </c>
      <c r="I51" s="15" t="s">
        <v>344</v>
      </c>
      <c r="J51" s="15" t="s">
        <v>439</v>
      </c>
      <c r="K51" s="15" t="s">
        <v>440</v>
      </c>
      <c r="L51" s="15" t="s">
        <v>441</v>
      </c>
      <c r="M51" s="15" t="s">
        <v>18</v>
      </c>
      <c r="N51" s="15" t="s">
        <v>442</v>
      </c>
      <c r="O51" s="14" t="s">
        <v>34</v>
      </c>
      <c r="P51" s="14" t="s">
        <v>89</v>
      </c>
      <c r="Q51" s="14" t="s">
        <v>122</v>
      </c>
      <c r="R51" s="14"/>
      <c r="S51" s="15" t="s">
        <v>424</v>
      </c>
    </row>
    <row r="52" customFormat="false" ht="48.75" hidden="false" customHeight="true" outlineLevel="0" collapsed="false">
      <c r="A52" s="12" t="s">
        <v>443</v>
      </c>
      <c r="B52" s="12" t="s">
        <v>21</v>
      </c>
      <c r="C52" s="13" t="s">
        <v>411</v>
      </c>
      <c r="D52" s="13" t="s">
        <v>444</v>
      </c>
      <c r="E52" s="12" t="s">
        <v>23</v>
      </c>
      <c r="F52" s="12" t="s">
        <v>13</v>
      </c>
      <c r="G52" s="12" t="s">
        <v>32</v>
      </c>
      <c r="H52" s="13" t="s">
        <v>53</v>
      </c>
      <c r="I52" s="13" t="s">
        <v>445</v>
      </c>
      <c r="J52" s="13" t="s">
        <v>446</v>
      </c>
      <c r="K52" s="13" t="s">
        <v>134</v>
      </c>
      <c r="L52" s="13" t="s">
        <v>447</v>
      </c>
      <c r="M52" s="13" t="s">
        <v>45</v>
      </c>
      <c r="N52" s="13" t="s">
        <v>448</v>
      </c>
      <c r="O52" s="12" t="s">
        <v>34</v>
      </c>
      <c r="P52" s="12" t="s">
        <v>86</v>
      </c>
      <c r="Q52" s="12" t="s">
        <v>271</v>
      </c>
      <c r="R52" s="12"/>
      <c r="S52" s="13" t="s">
        <v>272</v>
      </c>
    </row>
    <row r="53" customFormat="false" ht="48.75" hidden="false" customHeight="true" outlineLevel="0" collapsed="false">
      <c r="A53" s="14" t="s">
        <v>449</v>
      </c>
      <c r="B53" s="14" t="s">
        <v>21</v>
      </c>
      <c r="C53" s="15" t="s">
        <v>411</v>
      </c>
      <c r="D53" s="15" t="s">
        <v>450</v>
      </c>
      <c r="E53" s="14" t="s">
        <v>26</v>
      </c>
      <c r="F53" s="14" t="s">
        <v>13</v>
      </c>
      <c r="G53" s="14" t="s">
        <v>33</v>
      </c>
      <c r="H53" s="15" t="s">
        <v>51</v>
      </c>
      <c r="I53" s="15" t="s">
        <v>451</v>
      </c>
      <c r="J53" s="15" t="s">
        <v>452</v>
      </c>
      <c r="K53" s="15" t="s">
        <v>134</v>
      </c>
      <c r="L53" s="15" t="s">
        <v>453</v>
      </c>
      <c r="M53" s="15" t="s">
        <v>18</v>
      </c>
      <c r="N53" s="15" t="s">
        <v>454</v>
      </c>
      <c r="O53" s="14" t="s">
        <v>34</v>
      </c>
      <c r="P53" s="14" t="s">
        <v>89</v>
      </c>
      <c r="Q53" s="14" t="s">
        <v>257</v>
      </c>
      <c r="R53" s="14"/>
      <c r="S53" s="15" t="s">
        <v>424</v>
      </c>
    </row>
    <row r="54" customFormat="false" ht="75" hidden="false" customHeight="true" outlineLevel="0" collapsed="false">
      <c r="A54" s="12" t="s">
        <v>455</v>
      </c>
      <c r="B54" s="12" t="s">
        <v>21</v>
      </c>
      <c r="C54" s="13" t="s">
        <v>411</v>
      </c>
      <c r="D54" s="13" t="s">
        <v>456</v>
      </c>
      <c r="E54" s="12" t="s">
        <v>27</v>
      </c>
      <c r="F54" s="12" t="s">
        <v>13</v>
      </c>
      <c r="G54" s="12" t="s">
        <v>33</v>
      </c>
      <c r="H54" s="13" t="s">
        <v>55</v>
      </c>
      <c r="I54" s="13" t="s">
        <v>457</v>
      </c>
      <c r="J54" s="13" t="s">
        <v>458</v>
      </c>
      <c r="K54" s="13" t="s">
        <v>134</v>
      </c>
      <c r="L54" s="13" t="s">
        <v>459</v>
      </c>
      <c r="M54" s="13" t="s">
        <v>18</v>
      </c>
      <c r="N54" s="13" t="s">
        <v>460</v>
      </c>
      <c r="O54" s="12" t="s">
        <v>34</v>
      </c>
      <c r="P54" s="12" t="s">
        <v>89</v>
      </c>
      <c r="Q54" s="12" t="s">
        <v>461</v>
      </c>
      <c r="R54" s="12"/>
      <c r="S54" s="13" t="s">
        <v>462</v>
      </c>
    </row>
    <row r="55" customFormat="false" ht="61.5" hidden="false" customHeight="true" outlineLevel="0" collapsed="false">
      <c r="A55" s="14" t="s">
        <v>463</v>
      </c>
      <c r="B55" s="14" t="s">
        <v>21</v>
      </c>
      <c r="C55" s="15" t="s">
        <v>464</v>
      </c>
      <c r="D55" s="15" t="s">
        <v>465</v>
      </c>
      <c r="E55" s="14" t="s">
        <v>23</v>
      </c>
      <c r="F55" s="14" t="s">
        <v>13</v>
      </c>
      <c r="G55" s="14" t="s">
        <v>32</v>
      </c>
      <c r="H55" s="15" t="s">
        <v>53</v>
      </c>
      <c r="I55" s="15" t="s">
        <v>466</v>
      </c>
      <c r="J55" s="15" t="s">
        <v>467</v>
      </c>
      <c r="K55" s="15" t="s">
        <v>134</v>
      </c>
      <c r="L55" s="15" t="s">
        <v>468</v>
      </c>
      <c r="M55" s="15" t="s">
        <v>18</v>
      </c>
      <c r="N55" s="15" t="s">
        <v>469</v>
      </c>
      <c r="O55" s="14" t="s">
        <v>34</v>
      </c>
      <c r="P55" s="14" t="s">
        <v>89</v>
      </c>
      <c r="Q55" s="14" t="s">
        <v>122</v>
      </c>
      <c r="R55" s="14"/>
      <c r="S55" s="15" t="s">
        <v>470</v>
      </c>
    </row>
    <row r="56" customFormat="false" ht="48.75" hidden="false" customHeight="true" outlineLevel="0" collapsed="false">
      <c r="A56" s="12" t="s">
        <v>471</v>
      </c>
      <c r="B56" s="12" t="s">
        <v>21</v>
      </c>
      <c r="C56" s="13" t="s">
        <v>464</v>
      </c>
      <c r="D56" s="13" t="s">
        <v>472</v>
      </c>
      <c r="E56" s="12" t="s">
        <v>24</v>
      </c>
      <c r="F56" s="12" t="s">
        <v>14</v>
      </c>
      <c r="G56" s="12" t="s">
        <v>32</v>
      </c>
      <c r="H56" s="13" t="s">
        <v>53</v>
      </c>
      <c r="I56" s="13" t="s">
        <v>445</v>
      </c>
      <c r="J56" s="13" t="s">
        <v>473</v>
      </c>
      <c r="K56" s="13" t="s">
        <v>134</v>
      </c>
      <c r="L56" s="13" t="s">
        <v>474</v>
      </c>
      <c r="M56" s="13" t="s">
        <v>18</v>
      </c>
      <c r="N56" s="13" t="s">
        <v>475</v>
      </c>
      <c r="O56" s="12" t="s">
        <v>34</v>
      </c>
      <c r="P56" s="12" t="s">
        <v>89</v>
      </c>
      <c r="Q56" s="12" t="s">
        <v>122</v>
      </c>
      <c r="R56" s="12"/>
      <c r="S56" s="13" t="s">
        <v>470</v>
      </c>
    </row>
    <row r="57" customFormat="false" ht="75" hidden="false" customHeight="true" outlineLevel="0" collapsed="false">
      <c r="A57" s="14" t="s">
        <v>476</v>
      </c>
      <c r="B57" s="14" t="s">
        <v>21</v>
      </c>
      <c r="C57" s="15" t="s">
        <v>464</v>
      </c>
      <c r="D57" s="15" t="s">
        <v>477</v>
      </c>
      <c r="E57" s="14" t="s">
        <v>24</v>
      </c>
      <c r="F57" s="14" t="s">
        <v>14</v>
      </c>
      <c r="G57" s="14" t="s">
        <v>31</v>
      </c>
      <c r="H57" s="15" t="s">
        <v>55</v>
      </c>
      <c r="I57" s="15" t="s">
        <v>478</v>
      </c>
      <c r="J57" s="15" t="s">
        <v>479</v>
      </c>
      <c r="K57" s="15" t="s">
        <v>480</v>
      </c>
      <c r="L57" s="15" t="s">
        <v>481</v>
      </c>
      <c r="M57" s="15" t="s">
        <v>18</v>
      </c>
      <c r="N57" s="15" t="s">
        <v>482</v>
      </c>
      <c r="O57" s="14" t="s">
        <v>34</v>
      </c>
      <c r="P57" s="14" t="s">
        <v>89</v>
      </c>
      <c r="Q57" s="14" t="s">
        <v>122</v>
      </c>
      <c r="R57" s="14"/>
      <c r="S57" s="15" t="s">
        <v>470</v>
      </c>
    </row>
    <row r="58" customFormat="false" ht="61.5" hidden="false" customHeight="true" outlineLevel="0" collapsed="false">
      <c r="A58" s="12" t="s">
        <v>483</v>
      </c>
      <c r="B58" s="12" t="s">
        <v>21</v>
      </c>
      <c r="C58" s="13" t="s">
        <v>464</v>
      </c>
      <c r="D58" s="13" t="s">
        <v>484</v>
      </c>
      <c r="E58" s="12" t="s">
        <v>23</v>
      </c>
      <c r="F58" s="12" t="s">
        <v>15</v>
      </c>
      <c r="G58" s="12" t="s">
        <v>33</v>
      </c>
      <c r="H58" s="13" t="s">
        <v>55</v>
      </c>
      <c r="I58" s="13" t="s">
        <v>485</v>
      </c>
      <c r="J58" s="13" t="s">
        <v>486</v>
      </c>
      <c r="K58" s="13" t="s">
        <v>487</v>
      </c>
      <c r="L58" s="13" t="s">
        <v>488</v>
      </c>
      <c r="M58" s="13" t="s">
        <v>43</v>
      </c>
      <c r="N58" s="13" t="s">
        <v>489</v>
      </c>
      <c r="O58" s="12" t="s">
        <v>36</v>
      </c>
      <c r="P58" s="12" t="s">
        <v>89</v>
      </c>
      <c r="Q58" s="12" t="s">
        <v>122</v>
      </c>
      <c r="R58" s="12" t="s">
        <v>490</v>
      </c>
      <c r="S58" s="13" t="s">
        <v>470</v>
      </c>
    </row>
    <row r="59" customFormat="false" ht="48.75" hidden="false" customHeight="true" outlineLevel="0" collapsed="false">
      <c r="A59" s="14" t="s">
        <v>491</v>
      </c>
      <c r="B59" s="14" t="s">
        <v>21</v>
      </c>
      <c r="C59" s="15" t="s">
        <v>492</v>
      </c>
      <c r="D59" s="15" t="s">
        <v>493</v>
      </c>
      <c r="E59" s="14" t="s">
        <v>23</v>
      </c>
      <c r="F59" s="14" t="s">
        <v>13</v>
      </c>
      <c r="G59" s="14" t="s">
        <v>32</v>
      </c>
      <c r="H59" s="15" t="s">
        <v>53</v>
      </c>
      <c r="I59" s="15" t="s">
        <v>494</v>
      </c>
      <c r="J59" s="15" t="s">
        <v>495</v>
      </c>
      <c r="K59" s="15" t="s">
        <v>134</v>
      </c>
      <c r="L59" s="15" t="s">
        <v>496</v>
      </c>
      <c r="M59" s="15" t="s">
        <v>18</v>
      </c>
      <c r="N59" s="15" t="s">
        <v>497</v>
      </c>
      <c r="O59" s="14" t="s">
        <v>34</v>
      </c>
      <c r="P59" s="14" t="s">
        <v>89</v>
      </c>
      <c r="Q59" s="14" t="s">
        <v>122</v>
      </c>
      <c r="R59" s="14"/>
      <c r="S59" s="15" t="s">
        <v>498</v>
      </c>
    </row>
    <row r="60" customFormat="false" ht="165.75" hidden="false" customHeight="true" outlineLevel="0" collapsed="false">
      <c r="A60" s="12" t="s">
        <v>499</v>
      </c>
      <c r="B60" s="12" t="s">
        <v>21</v>
      </c>
      <c r="C60" s="13" t="s">
        <v>492</v>
      </c>
      <c r="D60" s="13" t="s">
        <v>500</v>
      </c>
      <c r="E60" s="12" t="s">
        <v>23</v>
      </c>
      <c r="F60" s="12" t="s">
        <v>13</v>
      </c>
      <c r="G60" s="12" t="s">
        <v>31</v>
      </c>
      <c r="H60" s="13" t="s">
        <v>51</v>
      </c>
      <c r="I60" s="13" t="s">
        <v>344</v>
      </c>
      <c r="J60" s="13" t="s">
        <v>501</v>
      </c>
      <c r="K60" s="13" t="s">
        <v>502</v>
      </c>
      <c r="L60" s="13" t="s">
        <v>503</v>
      </c>
      <c r="M60" s="13" t="s">
        <v>18</v>
      </c>
      <c r="N60" s="13" t="s">
        <v>504</v>
      </c>
      <c r="O60" s="12" t="s">
        <v>34</v>
      </c>
      <c r="P60" s="12" t="s">
        <v>89</v>
      </c>
      <c r="Q60" s="12" t="s">
        <v>144</v>
      </c>
      <c r="R60" s="12" t="s">
        <v>505</v>
      </c>
      <c r="S60" s="13" t="s">
        <v>498</v>
      </c>
    </row>
    <row r="61" customFormat="false" ht="100.5" hidden="false" customHeight="true" outlineLevel="0" collapsed="false">
      <c r="A61" s="14" t="s">
        <v>506</v>
      </c>
      <c r="B61" s="14" t="s">
        <v>21</v>
      </c>
      <c r="C61" s="15" t="s">
        <v>492</v>
      </c>
      <c r="D61" s="15" t="s">
        <v>507</v>
      </c>
      <c r="E61" s="14" t="s">
        <v>23</v>
      </c>
      <c r="F61" s="14" t="s">
        <v>13</v>
      </c>
      <c r="G61" s="14" t="s">
        <v>31</v>
      </c>
      <c r="H61" s="15" t="s">
        <v>53</v>
      </c>
      <c r="I61" s="15" t="s">
        <v>445</v>
      </c>
      <c r="J61" s="15" t="s">
        <v>508</v>
      </c>
      <c r="K61" s="15" t="s">
        <v>509</v>
      </c>
      <c r="L61" s="15" t="s">
        <v>510</v>
      </c>
      <c r="M61" s="15" t="s">
        <v>18</v>
      </c>
      <c r="N61" s="15" t="s">
        <v>511</v>
      </c>
      <c r="O61" s="14" t="s">
        <v>34</v>
      </c>
      <c r="P61" s="14" t="s">
        <v>89</v>
      </c>
      <c r="Q61" s="14" t="s">
        <v>122</v>
      </c>
      <c r="R61" s="14"/>
      <c r="S61" s="15" t="s">
        <v>498</v>
      </c>
    </row>
    <row r="62" customFormat="false" ht="114" hidden="false" customHeight="true" outlineLevel="0" collapsed="false">
      <c r="A62" s="12" t="s">
        <v>512</v>
      </c>
      <c r="B62" s="12" t="s">
        <v>21</v>
      </c>
      <c r="C62" s="13" t="s">
        <v>492</v>
      </c>
      <c r="D62" s="13" t="s">
        <v>513</v>
      </c>
      <c r="E62" s="12" t="s">
        <v>23</v>
      </c>
      <c r="F62" s="12" t="s">
        <v>13</v>
      </c>
      <c r="G62" s="12" t="s">
        <v>32</v>
      </c>
      <c r="H62" s="13" t="s">
        <v>55</v>
      </c>
      <c r="I62" s="13" t="s">
        <v>445</v>
      </c>
      <c r="J62" s="13" t="s">
        <v>514</v>
      </c>
      <c r="K62" s="13" t="s">
        <v>515</v>
      </c>
      <c r="L62" s="13" t="s">
        <v>516</v>
      </c>
      <c r="M62" s="13" t="s">
        <v>43</v>
      </c>
      <c r="N62" s="13" t="s">
        <v>517</v>
      </c>
      <c r="O62" s="12" t="s">
        <v>36</v>
      </c>
      <c r="P62" s="12" t="s">
        <v>89</v>
      </c>
      <c r="Q62" s="12" t="s">
        <v>122</v>
      </c>
      <c r="R62" s="12" t="s">
        <v>518</v>
      </c>
      <c r="S62" s="13" t="s">
        <v>498</v>
      </c>
    </row>
    <row r="63" customFormat="false" ht="114" hidden="false" customHeight="true" outlineLevel="0" collapsed="false">
      <c r="A63" s="14" t="s">
        <v>519</v>
      </c>
      <c r="B63" s="14" t="s">
        <v>21</v>
      </c>
      <c r="C63" s="15" t="s">
        <v>492</v>
      </c>
      <c r="D63" s="15" t="s">
        <v>520</v>
      </c>
      <c r="E63" s="14" t="s">
        <v>23</v>
      </c>
      <c r="F63" s="14" t="s">
        <v>13</v>
      </c>
      <c r="G63" s="14" t="s">
        <v>32</v>
      </c>
      <c r="H63" s="15" t="s">
        <v>53</v>
      </c>
      <c r="I63" s="15" t="s">
        <v>521</v>
      </c>
      <c r="J63" s="15" t="s">
        <v>522</v>
      </c>
      <c r="K63" s="15" t="s">
        <v>509</v>
      </c>
      <c r="L63" s="15" t="s">
        <v>523</v>
      </c>
      <c r="M63" s="15" t="s">
        <v>18</v>
      </c>
      <c r="N63" s="15" t="s">
        <v>524</v>
      </c>
      <c r="O63" s="14" t="s">
        <v>34</v>
      </c>
      <c r="P63" s="14" t="s">
        <v>89</v>
      </c>
      <c r="Q63" s="14" t="s">
        <v>122</v>
      </c>
      <c r="R63" s="14"/>
      <c r="S63" s="15" t="s">
        <v>498</v>
      </c>
    </row>
    <row r="64" customFormat="false" ht="87.75" hidden="false" customHeight="true" outlineLevel="0" collapsed="false">
      <c r="A64" s="12" t="s">
        <v>525</v>
      </c>
      <c r="B64" s="12" t="s">
        <v>21</v>
      </c>
      <c r="C64" s="13" t="s">
        <v>492</v>
      </c>
      <c r="D64" s="13" t="s">
        <v>526</v>
      </c>
      <c r="E64" s="12" t="s">
        <v>23</v>
      </c>
      <c r="F64" s="12" t="s">
        <v>14</v>
      </c>
      <c r="G64" s="12" t="s">
        <v>31</v>
      </c>
      <c r="H64" s="13" t="s">
        <v>55</v>
      </c>
      <c r="I64" s="13" t="s">
        <v>344</v>
      </c>
      <c r="J64" s="13" t="s">
        <v>527</v>
      </c>
      <c r="K64" s="13" t="s">
        <v>509</v>
      </c>
      <c r="L64" s="13" t="s">
        <v>528</v>
      </c>
      <c r="M64" s="13" t="s">
        <v>43</v>
      </c>
      <c r="N64" s="13" t="s">
        <v>529</v>
      </c>
      <c r="O64" s="12" t="s">
        <v>36</v>
      </c>
      <c r="P64" s="12" t="s">
        <v>89</v>
      </c>
      <c r="Q64" s="12" t="s">
        <v>122</v>
      </c>
      <c r="R64" s="12" t="s">
        <v>530</v>
      </c>
      <c r="S64" s="13" t="s">
        <v>498</v>
      </c>
    </row>
    <row r="65" customFormat="false" ht="61.5" hidden="false" customHeight="true" outlineLevel="0" collapsed="false">
      <c r="A65" s="14" t="s">
        <v>531</v>
      </c>
      <c r="B65" s="14" t="s">
        <v>21</v>
      </c>
      <c r="C65" s="15" t="s">
        <v>492</v>
      </c>
      <c r="D65" s="15" t="s">
        <v>532</v>
      </c>
      <c r="E65" s="14" t="s">
        <v>23</v>
      </c>
      <c r="F65" s="14" t="s">
        <v>15</v>
      </c>
      <c r="G65" s="14" t="s">
        <v>31</v>
      </c>
      <c r="H65" s="15" t="s">
        <v>55</v>
      </c>
      <c r="I65" s="15" t="s">
        <v>344</v>
      </c>
      <c r="J65" s="15" t="s">
        <v>533</v>
      </c>
      <c r="K65" s="15" t="s">
        <v>534</v>
      </c>
      <c r="L65" s="15" t="s">
        <v>535</v>
      </c>
      <c r="M65" s="15" t="s">
        <v>45</v>
      </c>
      <c r="N65" s="15" t="s">
        <v>536</v>
      </c>
      <c r="O65" s="14" t="s">
        <v>36</v>
      </c>
      <c r="P65" s="14" t="s">
        <v>86</v>
      </c>
      <c r="Q65" s="14" t="s">
        <v>271</v>
      </c>
      <c r="R65" s="14" t="s">
        <v>537</v>
      </c>
      <c r="S65" s="15" t="s">
        <v>272</v>
      </c>
    </row>
    <row r="66" customFormat="false" ht="75" hidden="false" customHeight="true" outlineLevel="0" collapsed="false">
      <c r="A66" s="12" t="s">
        <v>538</v>
      </c>
      <c r="B66" s="12" t="s">
        <v>21</v>
      </c>
      <c r="C66" s="13" t="s">
        <v>492</v>
      </c>
      <c r="D66" s="13" t="s">
        <v>539</v>
      </c>
      <c r="E66" s="12" t="s">
        <v>23</v>
      </c>
      <c r="F66" s="12" t="s">
        <v>13</v>
      </c>
      <c r="G66" s="12" t="s">
        <v>33</v>
      </c>
      <c r="H66" s="13" t="s">
        <v>53</v>
      </c>
      <c r="I66" s="13" t="s">
        <v>427</v>
      </c>
      <c r="J66" s="13" t="s">
        <v>540</v>
      </c>
      <c r="K66" s="13" t="s">
        <v>541</v>
      </c>
      <c r="L66" s="13" t="s">
        <v>542</v>
      </c>
      <c r="M66" s="13" t="s">
        <v>45</v>
      </c>
      <c r="N66" s="13" t="s">
        <v>543</v>
      </c>
      <c r="O66" s="12" t="s">
        <v>34</v>
      </c>
      <c r="P66" s="12" t="s">
        <v>86</v>
      </c>
      <c r="Q66" s="12" t="s">
        <v>271</v>
      </c>
      <c r="R66" s="12" t="s">
        <v>250</v>
      </c>
      <c r="S66" s="13" t="s">
        <v>272</v>
      </c>
    </row>
    <row r="67" customFormat="false" ht="75" hidden="false" customHeight="true" outlineLevel="0" collapsed="false">
      <c r="A67" s="14" t="s">
        <v>544</v>
      </c>
      <c r="B67" s="14" t="s">
        <v>21</v>
      </c>
      <c r="C67" s="15" t="s">
        <v>492</v>
      </c>
      <c r="D67" s="15" t="s">
        <v>545</v>
      </c>
      <c r="E67" s="14" t="s">
        <v>23</v>
      </c>
      <c r="F67" s="14" t="s">
        <v>14</v>
      </c>
      <c r="G67" s="14" t="s">
        <v>31</v>
      </c>
      <c r="H67" s="15" t="s">
        <v>53</v>
      </c>
      <c r="I67" s="15" t="s">
        <v>445</v>
      </c>
      <c r="J67" s="15" t="s">
        <v>546</v>
      </c>
      <c r="K67" s="15" t="s">
        <v>547</v>
      </c>
      <c r="L67" s="15" t="s">
        <v>548</v>
      </c>
      <c r="M67" s="15" t="s">
        <v>18</v>
      </c>
      <c r="N67" s="15" t="s">
        <v>549</v>
      </c>
      <c r="O67" s="14" t="s">
        <v>34</v>
      </c>
      <c r="P67" s="14" t="s">
        <v>89</v>
      </c>
      <c r="Q67" s="14" t="s">
        <v>122</v>
      </c>
      <c r="R67" s="14"/>
      <c r="S67" s="15" t="s">
        <v>550</v>
      </c>
    </row>
    <row r="68" customFormat="false" ht="75" hidden="false" customHeight="true" outlineLevel="0" collapsed="false">
      <c r="A68" s="12" t="s">
        <v>551</v>
      </c>
      <c r="B68" s="12" t="s">
        <v>21</v>
      </c>
      <c r="C68" s="13" t="s">
        <v>492</v>
      </c>
      <c r="D68" s="13" t="s">
        <v>552</v>
      </c>
      <c r="E68" s="12" t="s">
        <v>23</v>
      </c>
      <c r="F68" s="12" t="s">
        <v>14</v>
      </c>
      <c r="G68" s="12" t="s">
        <v>32</v>
      </c>
      <c r="H68" s="13" t="s">
        <v>53</v>
      </c>
      <c r="I68" s="13" t="s">
        <v>445</v>
      </c>
      <c r="J68" s="13" t="s">
        <v>553</v>
      </c>
      <c r="K68" s="13" t="s">
        <v>554</v>
      </c>
      <c r="L68" s="13" t="s">
        <v>548</v>
      </c>
      <c r="M68" s="13" t="s">
        <v>18</v>
      </c>
      <c r="N68" s="13" t="s">
        <v>549</v>
      </c>
      <c r="O68" s="12" t="s">
        <v>34</v>
      </c>
      <c r="P68" s="12" t="s">
        <v>89</v>
      </c>
      <c r="Q68" s="12" t="s">
        <v>122</v>
      </c>
      <c r="R68" s="12"/>
      <c r="S68" s="13" t="s">
        <v>550</v>
      </c>
    </row>
    <row r="69" customFormat="false" ht="75" hidden="false" customHeight="true" outlineLevel="0" collapsed="false">
      <c r="A69" s="14" t="s">
        <v>555</v>
      </c>
      <c r="B69" s="14" t="s">
        <v>21</v>
      </c>
      <c r="C69" s="15" t="s">
        <v>492</v>
      </c>
      <c r="D69" s="15" t="s">
        <v>556</v>
      </c>
      <c r="E69" s="14" t="s">
        <v>23</v>
      </c>
      <c r="F69" s="14" t="s">
        <v>14</v>
      </c>
      <c r="G69" s="14" t="s">
        <v>32</v>
      </c>
      <c r="H69" s="15" t="s">
        <v>53</v>
      </c>
      <c r="I69" s="15" t="s">
        <v>445</v>
      </c>
      <c r="J69" s="15" t="s">
        <v>557</v>
      </c>
      <c r="K69" s="15" t="s">
        <v>558</v>
      </c>
      <c r="L69" s="15" t="s">
        <v>548</v>
      </c>
      <c r="M69" s="15" t="s">
        <v>18</v>
      </c>
      <c r="N69" s="15" t="s">
        <v>549</v>
      </c>
      <c r="O69" s="14" t="s">
        <v>34</v>
      </c>
      <c r="P69" s="14" t="s">
        <v>89</v>
      </c>
      <c r="Q69" s="14" t="s">
        <v>122</v>
      </c>
      <c r="R69" s="14"/>
      <c r="S69" s="15" t="s">
        <v>550</v>
      </c>
    </row>
    <row r="70" customFormat="false" ht="75" hidden="false" customHeight="true" outlineLevel="0" collapsed="false">
      <c r="A70" s="12" t="s">
        <v>559</v>
      </c>
      <c r="B70" s="12" t="s">
        <v>21</v>
      </c>
      <c r="C70" s="13" t="s">
        <v>492</v>
      </c>
      <c r="D70" s="13" t="s">
        <v>560</v>
      </c>
      <c r="E70" s="12" t="s">
        <v>23</v>
      </c>
      <c r="F70" s="12" t="s">
        <v>14</v>
      </c>
      <c r="G70" s="12" t="s">
        <v>32</v>
      </c>
      <c r="H70" s="13" t="s">
        <v>55</v>
      </c>
      <c r="I70" s="13" t="s">
        <v>445</v>
      </c>
      <c r="J70" s="13" t="s">
        <v>561</v>
      </c>
      <c r="K70" s="13" t="s">
        <v>562</v>
      </c>
      <c r="L70" s="13" t="s">
        <v>563</v>
      </c>
      <c r="M70" s="13" t="s">
        <v>47</v>
      </c>
      <c r="N70" s="13" t="s">
        <v>564</v>
      </c>
      <c r="O70" s="12" t="s">
        <v>36</v>
      </c>
      <c r="P70" s="12" t="s">
        <v>86</v>
      </c>
      <c r="Q70" s="12" t="s">
        <v>271</v>
      </c>
      <c r="R70" s="12" t="s">
        <v>565</v>
      </c>
      <c r="S70" s="13" t="s">
        <v>566</v>
      </c>
    </row>
    <row r="71" customFormat="false" ht="75" hidden="false" customHeight="true" outlineLevel="0" collapsed="false">
      <c r="A71" s="14" t="s">
        <v>567</v>
      </c>
      <c r="B71" s="14" t="s">
        <v>21</v>
      </c>
      <c r="C71" s="15" t="s">
        <v>492</v>
      </c>
      <c r="D71" s="15" t="s">
        <v>568</v>
      </c>
      <c r="E71" s="14" t="s">
        <v>23</v>
      </c>
      <c r="F71" s="14" t="s">
        <v>14</v>
      </c>
      <c r="G71" s="14" t="s">
        <v>32</v>
      </c>
      <c r="H71" s="15" t="s">
        <v>55</v>
      </c>
      <c r="I71" s="15" t="s">
        <v>445</v>
      </c>
      <c r="J71" s="15" t="s">
        <v>569</v>
      </c>
      <c r="K71" s="15" t="s">
        <v>570</v>
      </c>
      <c r="L71" s="15" t="s">
        <v>571</v>
      </c>
      <c r="M71" s="15" t="s">
        <v>47</v>
      </c>
      <c r="N71" s="15" t="s">
        <v>572</v>
      </c>
      <c r="O71" s="14" t="s">
        <v>36</v>
      </c>
      <c r="P71" s="14" t="s">
        <v>86</v>
      </c>
      <c r="Q71" s="14" t="s">
        <v>271</v>
      </c>
      <c r="R71" s="14" t="s">
        <v>573</v>
      </c>
      <c r="S71" s="15" t="s">
        <v>566</v>
      </c>
    </row>
    <row r="72" customFormat="false" ht="75" hidden="false" customHeight="true" outlineLevel="0" collapsed="false">
      <c r="A72" s="12" t="s">
        <v>574</v>
      </c>
      <c r="B72" s="12" t="s">
        <v>21</v>
      </c>
      <c r="C72" s="13" t="s">
        <v>492</v>
      </c>
      <c r="D72" s="13" t="s">
        <v>575</v>
      </c>
      <c r="E72" s="12" t="s">
        <v>23</v>
      </c>
      <c r="F72" s="12" t="s">
        <v>16</v>
      </c>
      <c r="G72" s="12" t="s">
        <v>33</v>
      </c>
      <c r="H72" s="13" t="s">
        <v>55</v>
      </c>
      <c r="I72" s="13" t="s">
        <v>445</v>
      </c>
      <c r="J72" s="13" t="s">
        <v>569</v>
      </c>
      <c r="K72" s="13" t="s">
        <v>576</v>
      </c>
      <c r="L72" s="13" t="s">
        <v>571</v>
      </c>
      <c r="M72" s="13" t="s">
        <v>47</v>
      </c>
      <c r="N72" s="13" t="s">
        <v>577</v>
      </c>
      <c r="O72" s="12" t="s">
        <v>36</v>
      </c>
      <c r="P72" s="12" t="s">
        <v>86</v>
      </c>
      <c r="Q72" s="12" t="s">
        <v>271</v>
      </c>
      <c r="R72" s="12" t="s">
        <v>573</v>
      </c>
      <c r="S72" s="13" t="s">
        <v>566</v>
      </c>
    </row>
    <row r="73" customFormat="false" ht="75" hidden="false" customHeight="true" outlineLevel="0" collapsed="false">
      <c r="A73" s="14" t="s">
        <v>578</v>
      </c>
      <c r="B73" s="14" t="s">
        <v>21</v>
      </c>
      <c r="C73" s="15" t="s">
        <v>492</v>
      </c>
      <c r="D73" s="15" t="s">
        <v>579</v>
      </c>
      <c r="E73" s="14" t="s">
        <v>23</v>
      </c>
      <c r="F73" s="14" t="s">
        <v>16</v>
      </c>
      <c r="G73" s="14" t="s">
        <v>33</v>
      </c>
      <c r="H73" s="15" t="s">
        <v>55</v>
      </c>
      <c r="I73" s="15" t="s">
        <v>445</v>
      </c>
      <c r="J73" s="15" t="s">
        <v>580</v>
      </c>
      <c r="K73" s="15" t="s">
        <v>581</v>
      </c>
      <c r="L73" s="15" t="s">
        <v>582</v>
      </c>
      <c r="M73" s="15" t="s">
        <v>47</v>
      </c>
      <c r="N73" s="15" t="s">
        <v>583</v>
      </c>
      <c r="O73" s="14" t="s">
        <v>36</v>
      </c>
      <c r="P73" s="14" t="s">
        <v>86</v>
      </c>
      <c r="Q73" s="14" t="s">
        <v>271</v>
      </c>
      <c r="R73" s="14" t="s">
        <v>565</v>
      </c>
      <c r="S73" s="15" t="s">
        <v>566</v>
      </c>
    </row>
    <row r="74" customFormat="false" ht="75" hidden="false" customHeight="true" outlineLevel="0" collapsed="false">
      <c r="A74" s="12" t="s">
        <v>584</v>
      </c>
      <c r="B74" s="12" t="s">
        <v>21</v>
      </c>
      <c r="C74" s="13" t="s">
        <v>492</v>
      </c>
      <c r="D74" s="13" t="s">
        <v>585</v>
      </c>
      <c r="E74" s="12" t="s">
        <v>23</v>
      </c>
      <c r="F74" s="12" t="s">
        <v>14</v>
      </c>
      <c r="G74" s="12" t="s">
        <v>33</v>
      </c>
      <c r="H74" s="13" t="s">
        <v>55</v>
      </c>
      <c r="I74" s="13" t="s">
        <v>445</v>
      </c>
      <c r="J74" s="13" t="s">
        <v>586</v>
      </c>
      <c r="K74" s="13" t="s">
        <v>587</v>
      </c>
      <c r="L74" s="13" t="s">
        <v>588</v>
      </c>
      <c r="M74" s="13" t="s">
        <v>47</v>
      </c>
      <c r="N74" s="13" t="s">
        <v>589</v>
      </c>
      <c r="O74" s="12" t="s">
        <v>36</v>
      </c>
      <c r="P74" s="12" t="s">
        <v>86</v>
      </c>
      <c r="Q74" s="12" t="s">
        <v>271</v>
      </c>
      <c r="R74" s="12" t="s">
        <v>565</v>
      </c>
      <c r="S74" s="13" t="s">
        <v>566</v>
      </c>
    </row>
    <row r="75" customFormat="false" ht="87.75" hidden="false" customHeight="true" outlineLevel="0" collapsed="false">
      <c r="A75" s="14" t="s">
        <v>590</v>
      </c>
      <c r="B75" s="14" t="s">
        <v>21</v>
      </c>
      <c r="C75" s="15" t="s">
        <v>492</v>
      </c>
      <c r="D75" s="15" t="s">
        <v>591</v>
      </c>
      <c r="E75" s="14" t="s">
        <v>23</v>
      </c>
      <c r="F75" s="14" t="s">
        <v>15</v>
      </c>
      <c r="G75" s="14" t="s">
        <v>33</v>
      </c>
      <c r="H75" s="15" t="s">
        <v>55</v>
      </c>
      <c r="I75" s="15" t="s">
        <v>445</v>
      </c>
      <c r="J75" s="15" t="s">
        <v>592</v>
      </c>
      <c r="K75" s="15" t="s">
        <v>593</v>
      </c>
      <c r="L75" s="15" t="s">
        <v>594</v>
      </c>
      <c r="M75" s="15" t="s">
        <v>47</v>
      </c>
      <c r="N75" s="15" t="s">
        <v>595</v>
      </c>
      <c r="O75" s="14" t="s">
        <v>36</v>
      </c>
      <c r="P75" s="14" t="s">
        <v>86</v>
      </c>
      <c r="Q75" s="14" t="s">
        <v>271</v>
      </c>
      <c r="R75" s="14" t="s">
        <v>185</v>
      </c>
      <c r="S75" s="15" t="s">
        <v>566</v>
      </c>
    </row>
    <row r="76" customFormat="false" ht="75" hidden="false" customHeight="true" outlineLevel="0" collapsed="false">
      <c r="A76" s="12" t="s">
        <v>596</v>
      </c>
      <c r="B76" s="12" t="s">
        <v>21</v>
      </c>
      <c r="C76" s="13" t="s">
        <v>492</v>
      </c>
      <c r="D76" s="13" t="s">
        <v>597</v>
      </c>
      <c r="E76" s="12" t="s">
        <v>26</v>
      </c>
      <c r="F76" s="12" t="s">
        <v>16</v>
      </c>
      <c r="G76" s="12" t="s">
        <v>33</v>
      </c>
      <c r="H76" s="13" t="s">
        <v>55</v>
      </c>
      <c r="I76" s="13" t="s">
        <v>445</v>
      </c>
      <c r="J76" s="13" t="s">
        <v>598</v>
      </c>
      <c r="K76" s="13" t="s">
        <v>599</v>
      </c>
      <c r="L76" s="13" t="s">
        <v>600</v>
      </c>
      <c r="M76" s="13" t="s">
        <v>47</v>
      </c>
      <c r="N76" s="13" t="s">
        <v>601</v>
      </c>
      <c r="O76" s="12" t="s">
        <v>36</v>
      </c>
      <c r="P76" s="12" t="s">
        <v>86</v>
      </c>
      <c r="Q76" s="12" t="s">
        <v>271</v>
      </c>
      <c r="R76" s="12" t="s">
        <v>602</v>
      </c>
      <c r="S76" s="13" t="s">
        <v>603</v>
      </c>
    </row>
    <row r="77" customFormat="false" ht="87.75" hidden="false" customHeight="true" outlineLevel="0" collapsed="false">
      <c r="A77" s="14" t="s">
        <v>604</v>
      </c>
      <c r="B77" s="14" t="s">
        <v>21</v>
      </c>
      <c r="C77" s="15" t="s">
        <v>492</v>
      </c>
      <c r="D77" s="15" t="s">
        <v>605</v>
      </c>
      <c r="E77" s="14" t="s">
        <v>24</v>
      </c>
      <c r="F77" s="14" t="s">
        <v>14</v>
      </c>
      <c r="G77" s="14" t="s">
        <v>32</v>
      </c>
      <c r="H77" s="15" t="s">
        <v>55</v>
      </c>
      <c r="I77" s="15" t="s">
        <v>445</v>
      </c>
      <c r="J77" s="15" t="s">
        <v>606</v>
      </c>
      <c r="K77" s="15" t="s">
        <v>607</v>
      </c>
      <c r="L77" s="15" t="s">
        <v>608</v>
      </c>
      <c r="M77" s="15" t="s">
        <v>47</v>
      </c>
      <c r="N77" s="15" t="s">
        <v>609</v>
      </c>
      <c r="O77" s="14" t="s">
        <v>34</v>
      </c>
      <c r="P77" s="14" t="s">
        <v>86</v>
      </c>
      <c r="Q77" s="14" t="s">
        <v>271</v>
      </c>
      <c r="R77" s="14"/>
      <c r="S77" s="15" t="s">
        <v>610</v>
      </c>
    </row>
    <row r="78" customFormat="false" ht="75" hidden="false" customHeight="true" outlineLevel="0" collapsed="false">
      <c r="A78" s="12" t="s">
        <v>611</v>
      </c>
      <c r="B78" s="12" t="s">
        <v>21</v>
      </c>
      <c r="C78" s="13" t="s">
        <v>492</v>
      </c>
      <c r="D78" s="13" t="s">
        <v>612</v>
      </c>
      <c r="E78" s="12" t="s">
        <v>23</v>
      </c>
      <c r="F78" s="12" t="s">
        <v>15</v>
      </c>
      <c r="G78" s="12" t="s">
        <v>33</v>
      </c>
      <c r="H78" s="13" t="s">
        <v>55</v>
      </c>
      <c r="I78" s="13" t="s">
        <v>445</v>
      </c>
      <c r="J78" s="13" t="s">
        <v>613</v>
      </c>
      <c r="K78" s="13" t="s">
        <v>614</v>
      </c>
      <c r="L78" s="13" t="s">
        <v>615</v>
      </c>
      <c r="M78" s="13" t="s">
        <v>43</v>
      </c>
      <c r="N78" s="13" t="s">
        <v>616</v>
      </c>
      <c r="O78" s="12" t="s">
        <v>36</v>
      </c>
      <c r="P78" s="12" t="s">
        <v>89</v>
      </c>
      <c r="Q78" s="12" t="s">
        <v>122</v>
      </c>
      <c r="R78" s="12" t="s">
        <v>617</v>
      </c>
      <c r="S78" s="13" t="s">
        <v>498</v>
      </c>
    </row>
    <row r="79" customFormat="false" ht="61.5" hidden="false" customHeight="true" outlineLevel="0" collapsed="false">
      <c r="A79" s="14" t="s">
        <v>618</v>
      </c>
      <c r="B79" s="14" t="s">
        <v>21</v>
      </c>
      <c r="C79" s="15" t="s">
        <v>492</v>
      </c>
      <c r="D79" s="15" t="s">
        <v>619</v>
      </c>
      <c r="E79" s="14" t="s">
        <v>24</v>
      </c>
      <c r="F79" s="14" t="s">
        <v>14</v>
      </c>
      <c r="G79" s="14" t="s">
        <v>32</v>
      </c>
      <c r="H79" s="15" t="s">
        <v>55</v>
      </c>
      <c r="I79" s="15" t="s">
        <v>445</v>
      </c>
      <c r="J79" s="15" t="s">
        <v>620</v>
      </c>
      <c r="K79" s="15" t="s">
        <v>621</v>
      </c>
      <c r="L79" s="15" t="s">
        <v>622</v>
      </c>
      <c r="M79" s="15" t="s">
        <v>47</v>
      </c>
      <c r="N79" s="15" t="s">
        <v>623</v>
      </c>
      <c r="O79" s="14" t="s">
        <v>36</v>
      </c>
      <c r="P79" s="14" t="s">
        <v>86</v>
      </c>
      <c r="Q79" s="14" t="s">
        <v>271</v>
      </c>
      <c r="R79" s="14" t="s">
        <v>624</v>
      </c>
      <c r="S79" s="15" t="s">
        <v>625</v>
      </c>
    </row>
    <row r="80" customFormat="false" ht="75" hidden="false" customHeight="true" outlineLevel="0" collapsed="false">
      <c r="A80" s="12" t="s">
        <v>626</v>
      </c>
      <c r="B80" s="12" t="s">
        <v>21</v>
      </c>
      <c r="C80" s="13" t="s">
        <v>492</v>
      </c>
      <c r="D80" s="13" t="s">
        <v>627</v>
      </c>
      <c r="E80" s="12" t="s">
        <v>24</v>
      </c>
      <c r="F80" s="12" t="s">
        <v>14</v>
      </c>
      <c r="G80" s="12" t="s">
        <v>32</v>
      </c>
      <c r="H80" s="13" t="s">
        <v>55</v>
      </c>
      <c r="I80" s="13" t="s">
        <v>445</v>
      </c>
      <c r="J80" s="13" t="s">
        <v>628</v>
      </c>
      <c r="K80" s="13" t="s">
        <v>614</v>
      </c>
      <c r="L80" s="13" t="s">
        <v>629</v>
      </c>
      <c r="M80" s="13" t="s">
        <v>47</v>
      </c>
      <c r="N80" s="13" t="s">
        <v>630</v>
      </c>
      <c r="O80" s="12" t="s">
        <v>36</v>
      </c>
      <c r="P80" s="12" t="s">
        <v>86</v>
      </c>
      <c r="Q80" s="12" t="s">
        <v>271</v>
      </c>
      <c r="R80" s="12" t="s">
        <v>624</v>
      </c>
      <c r="S80" s="13" t="s">
        <v>625</v>
      </c>
    </row>
    <row r="81" customFormat="false" ht="75" hidden="false" customHeight="true" outlineLevel="0" collapsed="false">
      <c r="A81" s="14" t="s">
        <v>631</v>
      </c>
      <c r="B81" s="14" t="s">
        <v>21</v>
      </c>
      <c r="C81" s="15" t="s">
        <v>371</v>
      </c>
      <c r="D81" s="15" t="s">
        <v>632</v>
      </c>
      <c r="E81" s="14" t="s">
        <v>25</v>
      </c>
      <c r="F81" s="14" t="s">
        <v>13</v>
      </c>
      <c r="G81" s="14" t="s">
        <v>32</v>
      </c>
      <c r="H81" s="15" t="s">
        <v>53</v>
      </c>
      <c r="I81" s="15" t="s">
        <v>633</v>
      </c>
      <c r="J81" s="15" t="s">
        <v>634</v>
      </c>
      <c r="K81" s="15" t="s">
        <v>635</v>
      </c>
      <c r="L81" s="15" t="s">
        <v>636</v>
      </c>
      <c r="M81" s="15" t="s">
        <v>18</v>
      </c>
      <c r="N81" s="15" t="s">
        <v>637</v>
      </c>
      <c r="O81" s="14" t="s">
        <v>34</v>
      </c>
      <c r="P81" s="14" t="s">
        <v>89</v>
      </c>
      <c r="Q81" s="14" t="s">
        <v>321</v>
      </c>
      <c r="R81" s="14"/>
      <c r="S81" s="15" t="s">
        <v>638</v>
      </c>
    </row>
    <row r="82" customFormat="false" ht="48.75" hidden="false" customHeight="true" outlineLevel="0" collapsed="false">
      <c r="A82" s="12" t="s">
        <v>639</v>
      </c>
      <c r="B82" s="12" t="s">
        <v>21</v>
      </c>
      <c r="C82" s="13" t="s">
        <v>411</v>
      </c>
      <c r="D82" s="13" t="s">
        <v>640</v>
      </c>
      <c r="E82" s="12" t="s">
        <v>25</v>
      </c>
      <c r="F82" s="12" t="s">
        <v>13</v>
      </c>
      <c r="G82" s="12" t="s">
        <v>33</v>
      </c>
      <c r="H82" s="13" t="s">
        <v>53</v>
      </c>
      <c r="I82" s="13" t="s">
        <v>641</v>
      </c>
      <c r="J82" s="13" t="s">
        <v>642</v>
      </c>
      <c r="K82" s="13" t="s">
        <v>134</v>
      </c>
      <c r="L82" s="13" t="s">
        <v>643</v>
      </c>
      <c r="M82" s="13" t="s">
        <v>18</v>
      </c>
      <c r="N82" s="13" t="s">
        <v>644</v>
      </c>
      <c r="O82" s="12" t="s">
        <v>34</v>
      </c>
      <c r="P82" s="12" t="s">
        <v>89</v>
      </c>
      <c r="Q82" s="12" t="s">
        <v>321</v>
      </c>
      <c r="R82" s="12"/>
      <c r="S82" s="13" t="s">
        <v>638</v>
      </c>
    </row>
    <row r="83" customFormat="false" ht="48.75" hidden="false" customHeight="true" outlineLevel="0" collapsed="false">
      <c r="A83" s="14" t="s">
        <v>645</v>
      </c>
      <c r="B83" s="14" t="s">
        <v>21</v>
      </c>
      <c r="C83" s="15" t="s">
        <v>336</v>
      </c>
      <c r="D83" s="15" t="s">
        <v>646</v>
      </c>
      <c r="E83" s="14" t="s">
        <v>25</v>
      </c>
      <c r="F83" s="14" t="s">
        <v>14</v>
      </c>
      <c r="G83" s="14" t="s">
        <v>33</v>
      </c>
      <c r="H83" s="15" t="s">
        <v>55</v>
      </c>
      <c r="I83" s="15" t="s">
        <v>134</v>
      </c>
      <c r="J83" s="15" t="s">
        <v>647</v>
      </c>
      <c r="K83" s="15" t="s">
        <v>648</v>
      </c>
      <c r="L83" s="15" t="s">
        <v>649</v>
      </c>
      <c r="M83" s="15" t="s">
        <v>43</v>
      </c>
      <c r="N83" s="15" t="s">
        <v>650</v>
      </c>
      <c r="O83" s="14" t="s">
        <v>36</v>
      </c>
      <c r="P83" s="14" t="s">
        <v>89</v>
      </c>
      <c r="Q83" s="14" t="s">
        <v>321</v>
      </c>
      <c r="R83" s="14" t="s">
        <v>334</v>
      </c>
      <c r="S83" s="15" t="s">
        <v>651</v>
      </c>
    </row>
    <row r="84" customFormat="false" ht="61.5" hidden="false" customHeight="true" outlineLevel="0" collapsed="false">
      <c r="A84" s="12" t="s">
        <v>652</v>
      </c>
      <c r="B84" s="12" t="s">
        <v>21</v>
      </c>
      <c r="C84" s="13" t="s">
        <v>371</v>
      </c>
      <c r="D84" s="13" t="s">
        <v>653</v>
      </c>
      <c r="E84" s="12" t="s">
        <v>24</v>
      </c>
      <c r="F84" s="12" t="s">
        <v>15</v>
      </c>
      <c r="G84" s="12" t="s">
        <v>31</v>
      </c>
      <c r="H84" s="13" t="s">
        <v>55</v>
      </c>
      <c r="I84" s="13" t="s">
        <v>654</v>
      </c>
      <c r="J84" s="13" t="s">
        <v>655</v>
      </c>
      <c r="K84" s="13" t="s">
        <v>382</v>
      </c>
      <c r="L84" s="13" t="s">
        <v>656</v>
      </c>
      <c r="M84" s="13" t="s">
        <v>43</v>
      </c>
      <c r="N84" s="13" t="s">
        <v>657</v>
      </c>
      <c r="O84" s="12" t="s">
        <v>36</v>
      </c>
      <c r="P84" s="12" t="s">
        <v>89</v>
      </c>
      <c r="Q84" s="12" t="s">
        <v>122</v>
      </c>
      <c r="R84" s="12" t="s">
        <v>658</v>
      </c>
      <c r="S84" s="13" t="s">
        <v>369</v>
      </c>
    </row>
  </sheetData>
  <autoFilter ref="A1:S84"/>
  <conditionalFormatting sqref="O2:O84">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4">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4" type="list">
      <formula1>"Functional,Security,API,Usability,Performance"</formula1>
      <formula2>0</formula2>
    </dataValidation>
    <dataValidation allowBlank="false" errorStyle="stop" operator="between" showDropDown="false" showErrorMessage="false" showInputMessage="false" sqref="F2:F84" type="list">
      <formula1>"Positive,Negative,Edge,Boundary"</formula1>
      <formula2>0</formula2>
    </dataValidation>
    <dataValidation allowBlank="false" errorStyle="stop" operator="between" showDropDown="false" showErrorMessage="false" showInputMessage="false" sqref="G2:G84" type="list">
      <formula1>"P1,P2,P3"</formula1>
      <formula2>0</formula2>
    </dataValidation>
    <dataValidation allowBlank="false" errorStyle="stop" operator="between" showDropDown="false" showErrorMessage="false" showInputMessage="false" sqref="H2:H84" type="list">
      <formula1>"Challenge brief,Observed behaviour,Assumed (common practice)"</formula1>
      <formula2>0</formula2>
    </dataValidation>
    <dataValidation allowBlank="false" errorStyle="stop" operator="between" showDropDown="false" showErrorMessage="false" showInputMessage="false" sqref="O2:O84" type="list">
      <formula1>"Not Run,Pass,Fail,Blocked"</formula1>
      <formula2>0</formula2>
    </dataValidation>
    <dataValidation allowBlank="false" errorStyle="stop" operator="between" showDropDown="false" showErrorMessage="false" showInputMessage="false" sqref="M2:M84"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 collapsed="false" customWidth="true" hidden="false" outlineLevel="0" max="10" min="10" style="0" width="40"/>
  </cols>
  <sheetData>
    <row r="1" customFormat="false" ht="30" hidden="false" customHeight="true" outlineLevel="0" collapsed="false">
      <c r="A1" s="5" t="s">
        <v>659</v>
      </c>
      <c r="B1" s="5" t="s">
        <v>660</v>
      </c>
      <c r="C1" s="5" t="s">
        <v>58</v>
      </c>
      <c r="D1" s="5" t="s">
        <v>661</v>
      </c>
      <c r="E1" s="5" t="s">
        <v>662</v>
      </c>
      <c r="F1" s="5" t="s">
        <v>663</v>
      </c>
      <c r="G1" s="5" t="s">
        <v>664</v>
      </c>
      <c r="H1" s="5" t="s">
        <v>665</v>
      </c>
      <c r="I1" s="5" t="s">
        <v>666</v>
      </c>
      <c r="J1" s="5" t="s">
        <v>667</v>
      </c>
    </row>
    <row r="2" customFormat="false" ht="61.5" hidden="false" customHeight="true" outlineLevel="0" collapsed="false">
      <c r="A2" s="12" t="s">
        <v>530</v>
      </c>
      <c r="B2" s="13" t="s">
        <v>668</v>
      </c>
      <c r="C2" s="13" t="s">
        <v>61</v>
      </c>
      <c r="D2" s="12" t="s">
        <v>669</v>
      </c>
      <c r="E2" s="12" t="s">
        <v>525</v>
      </c>
      <c r="F2" s="13" t="s">
        <v>670</v>
      </c>
      <c r="G2" s="13" t="s">
        <v>671</v>
      </c>
      <c r="H2" s="13" t="s">
        <v>672</v>
      </c>
      <c r="I2" s="12" t="s">
        <v>60</v>
      </c>
      <c r="J2" s="13" t="s">
        <v>673</v>
      </c>
    </row>
    <row r="3" customFormat="false" ht="75" hidden="false" customHeight="true" outlineLevel="0" collapsed="false">
      <c r="A3" s="14" t="s">
        <v>518</v>
      </c>
      <c r="B3" s="15" t="s">
        <v>674</v>
      </c>
      <c r="C3" s="15" t="s">
        <v>61</v>
      </c>
      <c r="D3" s="14" t="s">
        <v>669</v>
      </c>
      <c r="E3" s="14" t="s">
        <v>512</v>
      </c>
      <c r="F3" s="15" t="s">
        <v>675</v>
      </c>
      <c r="G3" s="15" t="s">
        <v>676</v>
      </c>
      <c r="H3" s="15" t="s">
        <v>677</v>
      </c>
      <c r="I3" s="14" t="s">
        <v>60</v>
      </c>
      <c r="J3" s="15" t="s">
        <v>678</v>
      </c>
    </row>
    <row r="4" customFormat="false" ht="61.5" hidden="false" customHeight="true" outlineLevel="0" collapsed="false">
      <c r="A4" s="12" t="s">
        <v>573</v>
      </c>
      <c r="B4" s="13" t="s">
        <v>679</v>
      </c>
      <c r="C4" s="13" t="s">
        <v>62</v>
      </c>
      <c r="D4" s="12" t="s">
        <v>669</v>
      </c>
      <c r="E4" s="12" t="s">
        <v>680</v>
      </c>
      <c r="F4" s="13" t="s">
        <v>681</v>
      </c>
      <c r="G4" s="13" t="s">
        <v>682</v>
      </c>
      <c r="H4" s="13" t="s">
        <v>683</v>
      </c>
      <c r="I4" s="12" t="s">
        <v>60</v>
      </c>
      <c r="J4" s="13" t="s">
        <v>684</v>
      </c>
    </row>
    <row r="5" customFormat="false" ht="75" hidden="false" customHeight="true" outlineLevel="0" collapsed="false">
      <c r="A5" s="14" t="s">
        <v>565</v>
      </c>
      <c r="B5" s="15" t="s">
        <v>685</v>
      </c>
      <c r="C5" s="15" t="s">
        <v>62</v>
      </c>
      <c r="D5" s="14" t="s">
        <v>686</v>
      </c>
      <c r="E5" s="14" t="s">
        <v>687</v>
      </c>
      <c r="F5" s="15" t="s">
        <v>688</v>
      </c>
      <c r="G5" s="15" t="s">
        <v>689</v>
      </c>
      <c r="H5" s="15" t="s">
        <v>690</v>
      </c>
      <c r="I5" s="14" t="s">
        <v>60</v>
      </c>
      <c r="J5" s="15" t="s">
        <v>684</v>
      </c>
    </row>
    <row r="6" customFormat="false" ht="87.75" hidden="false" customHeight="true" outlineLevel="0" collapsed="false">
      <c r="A6" s="12" t="s">
        <v>185</v>
      </c>
      <c r="B6" s="13" t="s">
        <v>691</v>
      </c>
      <c r="C6" s="13" t="s">
        <v>62</v>
      </c>
      <c r="D6" s="12" t="s">
        <v>692</v>
      </c>
      <c r="E6" s="12" t="s">
        <v>693</v>
      </c>
      <c r="F6" s="13" t="s">
        <v>694</v>
      </c>
      <c r="G6" s="13" t="s">
        <v>695</v>
      </c>
      <c r="H6" s="13" t="s">
        <v>696</v>
      </c>
      <c r="I6" s="12" t="s">
        <v>60</v>
      </c>
      <c r="J6" s="13" t="s">
        <v>697</v>
      </c>
    </row>
    <row r="7" customFormat="false" ht="61.5" hidden="false" customHeight="true" outlineLevel="0" collapsed="false">
      <c r="A7" s="14" t="s">
        <v>377</v>
      </c>
      <c r="B7" s="15" t="s">
        <v>698</v>
      </c>
      <c r="C7" s="15" t="s">
        <v>61</v>
      </c>
      <c r="D7" s="14" t="s">
        <v>699</v>
      </c>
      <c r="E7" s="14" t="s">
        <v>700</v>
      </c>
      <c r="F7" s="15" t="s">
        <v>701</v>
      </c>
      <c r="G7" s="15" t="s">
        <v>702</v>
      </c>
      <c r="H7" s="15" t="s">
        <v>703</v>
      </c>
      <c r="I7" s="14" t="s">
        <v>704</v>
      </c>
      <c r="J7" s="15" t="s">
        <v>684</v>
      </c>
    </row>
    <row r="8" customFormat="false" ht="61.5" hidden="false" customHeight="true" outlineLevel="0" collapsed="false">
      <c r="A8" s="12" t="s">
        <v>302</v>
      </c>
      <c r="B8" s="13" t="s">
        <v>705</v>
      </c>
      <c r="C8" s="13" t="s">
        <v>63</v>
      </c>
      <c r="D8" s="12" t="s">
        <v>706</v>
      </c>
      <c r="E8" s="12" t="s">
        <v>297</v>
      </c>
      <c r="F8" s="13" t="s">
        <v>707</v>
      </c>
      <c r="G8" s="13" t="s">
        <v>708</v>
      </c>
      <c r="H8" s="13" t="s">
        <v>709</v>
      </c>
      <c r="I8" s="12" t="s">
        <v>60</v>
      </c>
      <c r="J8" s="13" t="s">
        <v>710</v>
      </c>
    </row>
    <row r="9" customFormat="false" ht="61.5" hidden="false" customHeight="true" outlineLevel="0" collapsed="false">
      <c r="A9" s="14" t="s">
        <v>291</v>
      </c>
      <c r="B9" s="15" t="s">
        <v>711</v>
      </c>
      <c r="C9" s="15" t="s">
        <v>63</v>
      </c>
      <c r="D9" s="14" t="s">
        <v>712</v>
      </c>
      <c r="E9" s="14" t="s">
        <v>286</v>
      </c>
      <c r="F9" s="15" t="s">
        <v>713</v>
      </c>
      <c r="G9" s="15" t="s">
        <v>714</v>
      </c>
      <c r="H9" s="15" t="s">
        <v>715</v>
      </c>
      <c r="I9" s="14" t="s">
        <v>60</v>
      </c>
      <c r="J9" s="15" t="s">
        <v>716</v>
      </c>
    </row>
    <row r="10" customFormat="false" ht="48.75" hidden="false" customHeight="true" outlineLevel="0" collapsed="false">
      <c r="A10" s="12" t="s">
        <v>490</v>
      </c>
      <c r="B10" s="13" t="s">
        <v>717</v>
      </c>
      <c r="C10" s="13" t="s">
        <v>64</v>
      </c>
      <c r="D10" s="12" t="s">
        <v>692</v>
      </c>
      <c r="E10" s="12" t="s">
        <v>483</v>
      </c>
      <c r="F10" s="13" t="s">
        <v>718</v>
      </c>
      <c r="G10" s="13" t="s">
        <v>719</v>
      </c>
      <c r="H10" s="13" t="s">
        <v>720</v>
      </c>
      <c r="I10" s="12" t="s">
        <v>60</v>
      </c>
      <c r="J10" s="13" t="s">
        <v>721</v>
      </c>
    </row>
    <row r="11" customFormat="false" ht="61.5" hidden="false" customHeight="true" outlineLevel="0" collapsed="false">
      <c r="A11" s="14" t="s">
        <v>243</v>
      </c>
      <c r="B11" s="15" t="s">
        <v>722</v>
      </c>
      <c r="C11" s="15" t="s">
        <v>64</v>
      </c>
      <c r="D11" s="14" t="s">
        <v>723</v>
      </c>
      <c r="E11" s="14" t="s">
        <v>238</v>
      </c>
      <c r="F11" s="15" t="s">
        <v>724</v>
      </c>
      <c r="G11" s="15" t="s">
        <v>725</v>
      </c>
      <c r="H11" s="15" t="s">
        <v>726</v>
      </c>
      <c r="I11" s="14" t="s">
        <v>60</v>
      </c>
      <c r="J11" s="15" t="s">
        <v>727</v>
      </c>
    </row>
    <row r="12" customFormat="false" ht="61.5" hidden="false" customHeight="true" outlineLevel="0" collapsed="false">
      <c r="A12" s="12" t="s">
        <v>250</v>
      </c>
      <c r="B12" s="13" t="s">
        <v>728</v>
      </c>
      <c r="C12" s="13" t="s">
        <v>64</v>
      </c>
      <c r="D12" s="12" t="s">
        <v>699</v>
      </c>
      <c r="E12" s="12" t="s">
        <v>729</v>
      </c>
      <c r="F12" s="13" t="s">
        <v>730</v>
      </c>
      <c r="G12" s="13" t="s">
        <v>731</v>
      </c>
      <c r="H12" s="13" t="s">
        <v>732</v>
      </c>
      <c r="I12" s="12" t="s">
        <v>60</v>
      </c>
      <c r="J12" s="13" t="s">
        <v>733</v>
      </c>
    </row>
    <row r="13" customFormat="false" ht="61.5" hidden="false" customHeight="true" outlineLevel="0" collapsed="false">
      <c r="A13" s="14" t="s">
        <v>505</v>
      </c>
      <c r="B13" s="15" t="s">
        <v>734</v>
      </c>
      <c r="C13" s="15" t="s">
        <v>62</v>
      </c>
      <c r="D13" s="14" t="s">
        <v>735</v>
      </c>
      <c r="E13" s="14" t="s">
        <v>499</v>
      </c>
      <c r="F13" s="15" t="s">
        <v>736</v>
      </c>
      <c r="G13" s="15" t="s">
        <v>737</v>
      </c>
      <c r="H13" s="15" t="s">
        <v>738</v>
      </c>
      <c r="I13" s="14" t="s">
        <v>60</v>
      </c>
      <c r="J13" s="15" t="s">
        <v>684</v>
      </c>
    </row>
    <row r="14" customFormat="false" ht="48.75" hidden="false" customHeight="true" outlineLevel="0" collapsed="false">
      <c r="A14" s="12" t="s">
        <v>416</v>
      </c>
      <c r="B14" s="13" t="s">
        <v>739</v>
      </c>
      <c r="C14" s="13" t="s">
        <v>64</v>
      </c>
      <c r="D14" s="12" t="s">
        <v>740</v>
      </c>
      <c r="E14" s="12" t="s">
        <v>410</v>
      </c>
      <c r="F14" s="13" t="s">
        <v>741</v>
      </c>
      <c r="G14" s="13" t="s">
        <v>742</v>
      </c>
      <c r="H14" s="13" t="s">
        <v>743</v>
      </c>
      <c r="I14" s="12" t="s">
        <v>60</v>
      </c>
      <c r="J14" s="13" t="s">
        <v>684</v>
      </c>
    </row>
    <row r="15" customFormat="false" ht="61.5" hidden="false" customHeight="true" outlineLevel="0" collapsed="false">
      <c r="A15" s="14" t="s">
        <v>403</v>
      </c>
      <c r="B15" s="15" t="s">
        <v>744</v>
      </c>
      <c r="C15" s="15" t="s">
        <v>61</v>
      </c>
      <c r="D15" s="14" t="s">
        <v>669</v>
      </c>
      <c r="E15" s="14" t="s">
        <v>397</v>
      </c>
      <c r="F15" s="15" t="s">
        <v>745</v>
      </c>
      <c r="G15" s="15" t="s">
        <v>746</v>
      </c>
      <c r="H15" s="15" t="s">
        <v>747</v>
      </c>
      <c r="I15" s="14" t="s">
        <v>748</v>
      </c>
      <c r="J15" s="15" t="s">
        <v>684</v>
      </c>
    </row>
    <row r="16" customFormat="false" ht="48.75" hidden="false" customHeight="true" outlineLevel="0" collapsed="false">
      <c r="A16" s="12" t="s">
        <v>355</v>
      </c>
      <c r="B16" s="13" t="s">
        <v>749</v>
      </c>
      <c r="C16" s="13" t="s">
        <v>61</v>
      </c>
      <c r="D16" s="12" t="s">
        <v>692</v>
      </c>
      <c r="E16" s="12" t="s">
        <v>349</v>
      </c>
      <c r="F16" s="13" t="s">
        <v>750</v>
      </c>
      <c r="G16" s="13" t="s">
        <v>751</v>
      </c>
      <c r="H16" s="13" t="s">
        <v>752</v>
      </c>
      <c r="I16" s="12" t="s">
        <v>60</v>
      </c>
      <c r="J16" s="13" t="s">
        <v>684</v>
      </c>
    </row>
    <row r="17" customFormat="false" ht="48.75" hidden="false" customHeight="true" outlineLevel="0" collapsed="false">
      <c r="A17" s="14" t="s">
        <v>361</v>
      </c>
      <c r="B17" s="15" t="s">
        <v>753</v>
      </c>
      <c r="C17" s="15" t="s">
        <v>61</v>
      </c>
      <c r="D17" s="14" t="s">
        <v>692</v>
      </c>
      <c r="E17" s="14" t="s">
        <v>356</v>
      </c>
      <c r="F17" s="15" t="s">
        <v>754</v>
      </c>
      <c r="G17" s="15" t="s">
        <v>755</v>
      </c>
      <c r="H17" s="15" t="s">
        <v>756</v>
      </c>
      <c r="I17" s="14" t="s">
        <v>60</v>
      </c>
      <c r="J17" s="15" t="s">
        <v>684</v>
      </c>
    </row>
    <row r="18" customFormat="false" ht="61.5" hidden="false" customHeight="true" outlineLevel="0" collapsed="false">
      <c r="A18" s="12" t="s">
        <v>624</v>
      </c>
      <c r="B18" s="13" t="s">
        <v>757</v>
      </c>
      <c r="C18" s="13" t="s">
        <v>63</v>
      </c>
      <c r="D18" s="12" t="s">
        <v>706</v>
      </c>
      <c r="E18" s="12" t="s">
        <v>758</v>
      </c>
      <c r="F18" s="13" t="s">
        <v>759</v>
      </c>
      <c r="G18" s="13" t="s">
        <v>760</v>
      </c>
      <c r="H18" s="13" t="s">
        <v>761</v>
      </c>
      <c r="I18" s="12" t="s">
        <v>60</v>
      </c>
      <c r="J18" s="13" t="s">
        <v>684</v>
      </c>
    </row>
    <row r="19" customFormat="false" ht="61.5" hidden="false" customHeight="true" outlineLevel="0" collapsed="false">
      <c r="A19" s="14" t="s">
        <v>284</v>
      </c>
      <c r="B19" s="15" t="s">
        <v>762</v>
      </c>
      <c r="C19" s="15" t="s">
        <v>63</v>
      </c>
      <c r="D19" s="14" t="s">
        <v>763</v>
      </c>
      <c r="E19" s="14" t="s">
        <v>279</v>
      </c>
      <c r="F19" s="15" t="s">
        <v>764</v>
      </c>
      <c r="G19" s="15" t="s">
        <v>765</v>
      </c>
      <c r="H19" s="15" t="s">
        <v>766</v>
      </c>
      <c r="I19" s="14" t="s">
        <v>60</v>
      </c>
      <c r="J19" s="15" t="s">
        <v>767</v>
      </c>
    </row>
    <row r="20" customFormat="false" ht="61.5" hidden="false" customHeight="true" outlineLevel="0" collapsed="false">
      <c r="A20" s="12" t="s">
        <v>334</v>
      </c>
      <c r="B20" s="13" t="s">
        <v>768</v>
      </c>
      <c r="C20" s="13" t="s">
        <v>62</v>
      </c>
      <c r="D20" s="12" t="s">
        <v>769</v>
      </c>
      <c r="E20" s="12" t="s">
        <v>770</v>
      </c>
      <c r="F20" s="13" t="s">
        <v>771</v>
      </c>
      <c r="G20" s="13" t="s">
        <v>772</v>
      </c>
      <c r="H20" s="13" t="s">
        <v>773</v>
      </c>
      <c r="I20" s="12" t="s">
        <v>60</v>
      </c>
      <c r="J20" s="13" t="s">
        <v>774</v>
      </c>
    </row>
    <row r="21" customFormat="false" ht="61.5" hidden="false" customHeight="true" outlineLevel="0" collapsed="false">
      <c r="A21" s="14" t="s">
        <v>537</v>
      </c>
      <c r="B21" s="15" t="s">
        <v>775</v>
      </c>
      <c r="C21" s="15" t="s">
        <v>61</v>
      </c>
      <c r="D21" s="14" t="s">
        <v>669</v>
      </c>
      <c r="E21" s="14" t="s">
        <v>531</v>
      </c>
      <c r="F21" s="15" t="s">
        <v>776</v>
      </c>
      <c r="G21" s="15" t="s">
        <v>777</v>
      </c>
      <c r="H21" s="15" t="s">
        <v>778</v>
      </c>
      <c r="I21" s="14" t="s">
        <v>60</v>
      </c>
      <c r="J21" s="15" t="s">
        <v>684</v>
      </c>
    </row>
    <row r="22" customFormat="false" ht="61.5" hidden="false" customHeight="true" outlineLevel="0" collapsed="false">
      <c r="A22" s="12" t="s">
        <v>602</v>
      </c>
      <c r="B22" s="13" t="s">
        <v>779</v>
      </c>
      <c r="C22" s="13" t="s">
        <v>62</v>
      </c>
      <c r="D22" s="12" t="s">
        <v>692</v>
      </c>
      <c r="E22" s="12" t="s">
        <v>596</v>
      </c>
      <c r="F22" s="13" t="s">
        <v>780</v>
      </c>
      <c r="G22" s="13" t="s">
        <v>781</v>
      </c>
      <c r="H22" s="13" t="s">
        <v>782</v>
      </c>
      <c r="I22" s="12" t="s">
        <v>60</v>
      </c>
      <c r="J22" s="13" t="s">
        <v>684</v>
      </c>
    </row>
    <row r="23" customFormat="false" ht="114" hidden="false" customHeight="true" outlineLevel="0" collapsed="false">
      <c r="A23" s="14" t="s">
        <v>658</v>
      </c>
      <c r="B23" s="15" t="s">
        <v>783</v>
      </c>
      <c r="C23" s="15" t="s">
        <v>61</v>
      </c>
      <c r="D23" s="14" t="s">
        <v>763</v>
      </c>
      <c r="E23" s="14" t="s">
        <v>652</v>
      </c>
      <c r="F23" s="15" t="s">
        <v>784</v>
      </c>
      <c r="G23" s="15" t="s">
        <v>785</v>
      </c>
      <c r="H23" s="15" t="s">
        <v>786</v>
      </c>
      <c r="I23" s="14" t="s">
        <v>60</v>
      </c>
      <c r="J23" s="15" t="s">
        <v>787</v>
      </c>
    </row>
    <row r="24" customFormat="false" ht="61.5" hidden="false" customHeight="true" outlineLevel="0" collapsed="false">
      <c r="A24" s="12" t="s">
        <v>237</v>
      </c>
      <c r="B24" s="13" t="s">
        <v>788</v>
      </c>
      <c r="C24" s="13" t="s">
        <v>61</v>
      </c>
      <c r="D24" s="12" t="s">
        <v>692</v>
      </c>
      <c r="E24" s="12" t="s">
        <v>232</v>
      </c>
      <c r="F24" s="13" t="s">
        <v>789</v>
      </c>
      <c r="G24" s="13" t="s">
        <v>790</v>
      </c>
      <c r="H24" s="13" t="s">
        <v>791</v>
      </c>
      <c r="I24" s="12" t="s">
        <v>60</v>
      </c>
      <c r="J24" s="13" t="s">
        <v>792</v>
      </c>
    </row>
    <row r="25" customFormat="false" ht="75" hidden="false" customHeight="true" outlineLevel="0" collapsed="false">
      <c r="A25" s="14" t="s">
        <v>617</v>
      </c>
      <c r="B25" s="15" t="s">
        <v>793</v>
      </c>
      <c r="C25" s="15" t="s">
        <v>61</v>
      </c>
      <c r="D25" s="14" t="s">
        <v>686</v>
      </c>
      <c r="E25" s="14" t="s">
        <v>611</v>
      </c>
      <c r="F25" s="15" t="s">
        <v>794</v>
      </c>
      <c r="G25" s="15" t="s">
        <v>795</v>
      </c>
      <c r="H25" s="15" t="s">
        <v>796</v>
      </c>
      <c r="I25" s="14" t="s">
        <v>60</v>
      </c>
      <c r="J25" s="15" t="s">
        <v>797</v>
      </c>
    </row>
    <row r="26" customFormat="false" ht="75" hidden="false" customHeight="true" outlineLevel="0" collapsed="false">
      <c r="A26" s="12" t="s">
        <v>231</v>
      </c>
      <c r="B26" s="13" t="s">
        <v>798</v>
      </c>
      <c r="C26" s="13" t="s">
        <v>63</v>
      </c>
      <c r="D26" s="12" t="s">
        <v>799</v>
      </c>
      <c r="E26" s="12" t="s">
        <v>225</v>
      </c>
      <c r="F26" s="13" t="s">
        <v>800</v>
      </c>
      <c r="G26" s="13" t="s">
        <v>801</v>
      </c>
      <c r="H26" s="13" t="s">
        <v>802</v>
      </c>
      <c r="I26" s="12" t="s">
        <v>60</v>
      </c>
      <c r="J26" s="13" t="s">
        <v>803</v>
      </c>
    </row>
    <row r="27" customFormat="false" ht="61.5" hidden="false" customHeight="true" outlineLevel="0" collapsed="false">
      <c r="A27" s="14" t="s">
        <v>192</v>
      </c>
      <c r="B27" s="15" t="s">
        <v>804</v>
      </c>
      <c r="C27" s="15" t="s">
        <v>62</v>
      </c>
      <c r="D27" s="14" t="s">
        <v>692</v>
      </c>
      <c r="E27" s="14" t="s">
        <v>186</v>
      </c>
      <c r="F27" s="15" t="s">
        <v>805</v>
      </c>
      <c r="G27" s="15" t="s">
        <v>806</v>
      </c>
      <c r="H27" s="15" t="s">
        <v>807</v>
      </c>
      <c r="I27" s="14" t="s">
        <v>60</v>
      </c>
      <c r="J27" s="15" t="s">
        <v>808</v>
      </c>
    </row>
    <row r="28" customFormat="false" ht="61.5" hidden="false" customHeight="true" outlineLevel="0" collapsed="false">
      <c r="A28" s="12" t="s">
        <v>199</v>
      </c>
      <c r="B28" s="13" t="s">
        <v>809</v>
      </c>
      <c r="C28" s="13" t="s">
        <v>62</v>
      </c>
      <c r="D28" s="12" t="s">
        <v>692</v>
      </c>
      <c r="E28" s="12" t="s">
        <v>193</v>
      </c>
      <c r="F28" s="13" t="s">
        <v>810</v>
      </c>
      <c r="G28" s="13" t="s">
        <v>811</v>
      </c>
      <c r="H28" s="13" t="s">
        <v>812</v>
      </c>
      <c r="I28" s="12" t="s">
        <v>60</v>
      </c>
      <c r="J28" s="13" t="s">
        <v>813</v>
      </c>
    </row>
    <row r="30" customFormat="false" ht="30" hidden="false" customHeight="true" outlineLevel="0" collapsed="false">
      <c r="A30" s="16" t="s">
        <v>814</v>
      </c>
      <c r="B30" s="16"/>
      <c r="C30" s="16"/>
      <c r="D30" s="16"/>
      <c r="E30" s="16"/>
      <c r="F30" s="16"/>
      <c r="G30" s="16"/>
      <c r="H30" s="16"/>
      <c r="I30" s="16"/>
      <c r="J30" s="16"/>
    </row>
  </sheetData>
  <autoFilter ref="A1:J28"/>
  <mergeCells count="1">
    <mergeCell ref="A30:J30"/>
  </mergeCells>
  <conditionalFormatting sqref="I2:I28">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8" type="list">
      <formula1>"Reproduced,To reproduce,Intermittent,Not reproducible"</formula1>
      <formula2>0</formula2>
    </dataValidation>
    <dataValidation allowBlank="false" errorStyle="stop" operator="between" showDropDown="false" showErrorMessage="false" showInputMessage="false" sqref="C2:C28"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815</v>
      </c>
    </row>
    <row r="2" customFormat="false" ht="15" hidden="false" customHeight="false" outlineLevel="0" collapsed="false">
      <c r="A2" s="5" t="s">
        <v>816</v>
      </c>
      <c r="B2" s="5" t="s">
        <v>817</v>
      </c>
      <c r="C2" s="5" t="s">
        <v>818</v>
      </c>
    </row>
    <row r="3" customFormat="false" ht="15" hidden="false" customHeight="false" outlineLevel="0" collapsed="false">
      <c r="A3" s="15" t="s">
        <v>819</v>
      </c>
      <c r="B3" s="15" t="s">
        <v>820</v>
      </c>
      <c r="C3" s="15"/>
    </row>
    <row r="4" customFormat="false" ht="15" hidden="false" customHeight="false" outlineLevel="0" collapsed="false">
      <c r="A4" s="15" t="s">
        <v>821</v>
      </c>
      <c r="B4" s="15" t="s">
        <v>822</v>
      </c>
      <c r="C4" s="15"/>
    </row>
    <row r="5" customFormat="false" ht="15" hidden="false" customHeight="false" outlineLevel="0" collapsed="false">
      <c r="A5" s="15" t="s">
        <v>823</v>
      </c>
      <c r="B5" s="15" t="s">
        <v>824</v>
      </c>
      <c r="C5" s="15" t="s">
        <v>825</v>
      </c>
    </row>
    <row r="6" customFormat="false" ht="15" hidden="false" customHeight="false" outlineLevel="0" collapsed="false">
      <c r="A6" s="15" t="s">
        <v>826</v>
      </c>
      <c r="B6" s="15" t="s">
        <v>827</v>
      </c>
      <c r="C6" s="15" t="s">
        <v>828</v>
      </c>
    </row>
    <row r="7" customFormat="false" ht="15" hidden="false" customHeight="false" outlineLevel="0" collapsed="false">
      <c r="A7" s="15" t="s">
        <v>829</v>
      </c>
      <c r="B7" s="17" t="s">
        <v>830</v>
      </c>
      <c r="C7" s="15" t="s">
        <v>831</v>
      </c>
    </row>
    <row r="8" customFormat="false" ht="15" hidden="false" customHeight="false" outlineLevel="0" collapsed="false">
      <c r="A8" s="15" t="s">
        <v>832</v>
      </c>
      <c r="B8" s="15" t="s">
        <v>833</v>
      </c>
      <c r="C8" s="15" t="s">
        <v>828</v>
      </c>
    </row>
    <row r="10" customFormat="false" ht="15" hidden="false" customHeight="false" outlineLevel="0" collapsed="false">
      <c r="A10" s="4" t="s">
        <v>834</v>
      </c>
    </row>
    <row r="11" customFormat="false" ht="15" hidden="false" customHeight="false" outlineLevel="0" collapsed="false">
      <c r="A11" s="5" t="s">
        <v>835</v>
      </c>
      <c r="B11" s="5" t="s">
        <v>836</v>
      </c>
      <c r="C11" s="5" t="s">
        <v>837</v>
      </c>
    </row>
    <row r="12" customFormat="false" ht="15" hidden="false" customHeight="false" outlineLevel="0" collapsed="false">
      <c r="A12" s="15" t="s">
        <v>838</v>
      </c>
      <c r="B12" s="15" t="s">
        <v>839</v>
      </c>
      <c r="C12" s="15" t="s">
        <v>840</v>
      </c>
    </row>
    <row r="13" customFormat="false" ht="15" hidden="false" customHeight="false" outlineLevel="0" collapsed="false">
      <c r="A13" s="15" t="s">
        <v>841</v>
      </c>
      <c r="B13" s="15" t="s">
        <v>842</v>
      </c>
      <c r="C13" s="15" t="s">
        <v>843</v>
      </c>
    </row>
    <row r="14" customFormat="false" ht="15" hidden="false" customHeight="false" outlineLevel="0" collapsed="false">
      <c r="A14" s="15" t="s">
        <v>844</v>
      </c>
      <c r="B14" s="15" t="s">
        <v>845</v>
      </c>
      <c r="C14" s="15" t="s">
        <v>843</v>
      </c>
    </row>
    <row r="15" customFormat="false" ht="15" hidden="false" customHeight="false" outlineLevel="0" collapsed="false">
      <c r="A15" s="15" t="s">
        <v>846</v>
      </c>
      <c r="B15" s="15" t="s">
        <v>847</v>
      </c>
      <c r="C15" s="15" t="s">
        <v>848</v>
      </c>
    </row>
    <row r="16" customFormat="false" ht="15" hidden="false" customHeight="false" outlineLevel="0" collapsed="false">
      <c r="A16" s="15" t="s">
        <v>849</v>
      </c>
      <c r="B16" s="15" t="s">
        <v>850</v>
      </c>
      <c r="C16" s="15" t="s">
        <v>851</v>
      </c>
    </row>
    <row r="17" customFormat="false" ht="15" hidden="false" customHeight="false" outlineLevel="0" collapsed="false">
      <c r="A17" s="15" t="s">
        <v>852</v>
      </c>
      <c r="B17" s="15" t="s">
        <v>853</v>
      </c>
      <c r="C17" s="15" t="s">
        <v>854</v>
      </c>
    </row>
    <row r="19" customFormat="false" ht="15" hidden="false" customHeight="false" outlineLevel="0" collapsed="false">
      <c r="A19" s="4" t="s">
        <v>855</v>
      </c>
    </row>
    <row r="20" customFormat="false" ht="15" hidden="false" customHeight="false" outlineLevel="0" collapsed="false">
      <c r="A20" s="5" t="s">
        <v>856</v>
      </c>
      <c r="B20" s="5" t="s">
        <v>857</v>
      </c>
      <c r="C20" s="5" t="s">
        <v>58</v>
      </c>
    </row>
    <row r="21" customFormat="false" ht="15" hidden="false" customHeight="false" outlineLevel="0" collapsed="false">
      <c r="A21" s="15" t="s">
        <v>858</v>
      </c>
      <c r="B21" s="18" t="n">
        <v>360</v>
      </c>
      <c r="C21" s="15" t="s">
        <v>859</v>
      </c>
    </row>
    <row r="22" customFormat="false" ht="15" hidden="false" customHeight="false" outlineLevel="0" collapsed="false">
      <c r="A22" s="15" t="s">
        <v>860</v>
      </c>
      <c r="B22" s="18" t="n">
        <v>820</v>
      </c>
      <c r="C22" s="15" t="s">
        <v>859</v>
      </c>
    </row>
    <row r="23" customFormat="false" ht="15" hidden="false" customHeight="false" outlineLevel="0" collapsed="false">
      <c r="A23" s="15" t="s">
        <v>861</v>
      </c>
      <c r="B23" s="18" t="n">
        <v>650</v>
      </c>
      <c r="C23" s="15" t="s">
        <v>859</v>
      </c>
    </row>
    <row r="24" customFormat="false" ht="15" hidden="false" customHeight="false" outlineLevel="0" collapsed="false">
      <c r="A24" s="15" t="s">
        <v>862</v>
      </c>
      <c r="B24" s="18" t="n">
        <v>800</v>
      </c>
      <c r="C24" s="15" t="s">
        <v>859</v>
      </c>
    </row>
    <row r="25" customFormat="false" ht="15" hidden="false" customHeight="false" outlineLevel="0" collapsed="false">
      <c r="A25" s="15" t="s">
        <v>863</v>
      </c>
      <c r="B25" s="18" t="n">
        <v>790</v>
      </c>
      <c r="C25" s="15" t="s">
        <v>859</v>
      </c>
    </row>
    <row r="26" customFormat="false" ht="15" hidden="false" customHeight="false" outlineLevel="0" collapsed="false">
      <c r="A26" s="15" t="s">
        <v>864</v>
      </c>
      <c r="B26" s="18" t="n">
        <v>320</v>
      </c>
      <c r="C26" s="15" t="s">
        <v>859</v>
      </c>
    </row>
    <row r="27" customFormat="false" ht="15" hidden="false" customHeight="false" outlineLevel="0" collapsed="false">
      <c r="A27" s="15" t="s">
        <v>865</v>
      </c>
      <c r="B27" s="18" t="n">
        <v>700</v>
      </c>
      <c r="C27" s="15" t="s">
        <v>859</v>
      </c>
    </row>
    <row r="28" customFormat="false" ht="15" hidden="false" customHeight="false" outlineLevel="0" collapsed="false">
      <c r="A28" s="15" t="s">
        <v>866</v>
      </c>
      <c r="B28" s="18" t="n">
        <v>790</v>
      </c>
      <c r="C28" s="15" t="s">
        <v>867</v>
      </c>
    </row>
    <row r="29" customFormat="false" ht="15" hidden="false" customHeight="false" outlineLevel="0" collapsed="false">
      <c r="A29" s="15" t="s">
        <v>868</v>
      </c>
      <c r="B29" s="18" t="n">
        <v>790</v>
      </c>
      <c r="C29" s="15" t="s">
        <v>867</v>
      </c>
    </row>
    <row r="30" customFormat="false" ht="15" hidden="false" customHeight="false" outlineLevel="0" collapsed="false">
      <c r="A30" s="19" t="s">
        <v>869</v>
      </c>
    </row>
    <row r="32" customFormat="false" ht="15" hidden="false" customHeight="false" outlineLevel="0" collapsed="false">
      <c r="A32" s="4" t="s">
        <v>870</v>
      </c>
    </row>
    <row r="33" customFormat="false" ht="15" hidden="false" customHeight="false" outlineLevel="0" collapsed="false">
      <c r="A33" s="5" t="s">
        <v>871</v>
      </c>
      <c r="B33" s="5" t="s">
        <v>872</v>
      </c>
      <c r="C33" s="5" t="s">
        <v>873</v>
      </c>
    </row>
    <row r="34" customFormat="false" ht="15" hidden="false" customHeight="false" outlineLevel="0" collapsed="false">
      <c r="A34" s="15" t="s">
        <v>874</v>
      </c>
      <c r="B34" s="20" t="n">
        <f aca="false">B21+B22</f>
        <v>1180</v>
      </c>
      <c r="C34" s="15" t="s">
        <v>875</v>
      </c>
    </row>
    <row r="35" customFormat="false" ht="15" hidden="false" customHeight="false" outlineLevel="0" collapsed="false">
      <c r="A35" s="15" t="s">
        <v>876</v>
      </c>
      <c r="B35" s="20" t="n">
        <f aca="false">B21*2</f>
        <v>720</v>
      </c>
      <c r="C35" s="15" t="s">
        <v>391</v>
      </c>
    </row>
    <row r="36" customFormat="false" ht="15" hidden="false" customHeight="false" outlineLevel="0" collapsed="false">
      <c r="A36" s="15" t="s">
        <v>877</v>
      </c>
      <c r="B36" s="20" t="n">
        <f aca="false">B21*2+B22</f>
        <v>1540</v>
      </c>
      <c r="C36" s="15" t="s">
        <v>397</v>
      </c>
    </row>
    <row r="37" customFormat="false" ht="15" hidden="false" customHeight="false" outlineLevel="0" collapsed="false">
      <c r="A37" s="15" t="s">
        <v>878</v>
      </c>
      <c r="B37" s="20" t="n">
        <f aca="false">B23*3</f>
        <v>1950</v>
      </c>
      <c r="C37" s="15" t="s">
        <v>404</v>
      </c>
    </row>
    <row r="38" customFormat="false" ht="15" hidden="false" customHeight="false" outlineLevel="0" collapsed="false">
      <c r="A38" s="15" t="s">
        <v>879</v>
      </c>
      <c r="B38" s="20" t="n">
        <f aca="false">SUM(B21:B29)+B21</f>
        <v>6380</v>
      </c>
      <c r="C38" s="15" t="s">
        <v>437</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2026-10-20T04:50:54Z</dcterms:created>
  <dc:creator>Wong Si Yi</dc:creator>
  <dc:description/>
  <dc:language>en-US</dc:language>
  <cp:lastModifiedBy/>
  <dcterms:modified xsi:type="dcterms:W3CDTF">2026-10-20T04:50:54Z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