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Cases" sheetId="2" state="visible" r:id="rId4"/>
    <sheet name="Potential Defects" sheetId="3" state="visible" r:id="rId5"/>
    <sheet name="Test Data" sheetId="4" state="visible" r:id="rId6"/>
  </sheets>
  <definedNames>
    <definedName function="false" hidden="false" localSheetId="2" name="_xlnm.Print_Titles" vbProcedure="false">'Potential Defects'!$1:$1</definedName>
    <definedName function="false" hidden="true" localSheetId="2" name="_xlnm._FilterDatabase" vbProcedure="false">'Potential Defects'!$A$1:$J$29</definedName>
    <definedName function="false" hidden="false" localSheetId="1" name="_xlnm.Print_Titles" vbProcedure="false">'Test Cases'!$1:$1</definedName>
    <definedName function="false" hidden="true" localSheetId="1" name="_xlnm._FilterDatabase" vbProcedure="false">'Test Cases'!$A$1:$S$85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<sst xmlns="http://schemas.openxmlformats.org/spreadsheetml/2006/main" count="2056" uniqueCount="896">
  <si>
    <t xml:space="preserve">DemoBlaze – Test Case Suite (Login &amp; Cart)</t>
  </si>
  <si>
    <t xml:space="preserve">Application under test</t>
  </si>
  <si>
    <t xml:space="preserve">https://www.demoblaze.com/</t>
  </si>
  <si>
    <t xml:space="preserve">Scope</t>
  </si>
  <si>
    <t xml:space="preserve">Login (sign-up precondition, login, session, logout) and Cart (product page, add to cart, cart page, place order), UI + API</t>
  </si>
  <si>
    <t xml:space="preserve">Prepared by</t>
  </si>
  <si>
    <t xml:space="preserve">Wong Si Yi</t>
  </si>
  <si>
    <t xml:space="preserve">Version</t>
  </si>
  <si>
    <t xml:space="preserve">1.7 (20-Oct-2026)</t>
  </si>
  <si>
    <t xml:space="preserve">Execution environment</t>
  </si>
  <si>
    <t xml:space="preserve">Manual: Chromium – desktop, 19-Oct-2026. Automated: Chromium, Firefox, WebKit, Pixel 7 emulation and API, 20-Oct-2026.</t>
  </si>
  <si>
    <t xml:space="preserve">Coverage by module and technique</t>
  </si>
  <si>
    <t xml:space="preserve">Module</t>
  </si>
  <si>
    <t xml:space="preserve">Positive</t>
  </si>
  <si>
    <t xml:space="preserve">Negative</t>
  </si>
  <si>
    <t xml:space="preserve">Edge</t>
  </si>
  <si>
    <t xml:space="preserve">Boundary</t>
  </si>
  <si>
    <t xml:space="preserve">Total</t>
  </si>
  <si>
    <t xml:space="preserve">Automated</t>
  </si>
  <si>
    <t xml:space="preserve">Executed</t>
  </si>
  <si>
    <t xml:space="preserve">Login</t>
  </si>
  <si>
    <t xml:space="preserve">Cart</t>
  </si>
  <si>
    <t xml:space="preserve">Coverage by test type</t>
  </si>
  <si>
    <t xml:space="preserve">Functional</t>
  </si>
  <si>
    <t xml:space="preserve">Security</t>
  </si>
  <si>
    <t xml:space="preserve">API</t>
  </si>
  <si>
    <t xml:space="preserve">Usability</t>
  </si>
  <si>
    <t xml:space="preserve">Performance</t>
  </si>
  <si>
    <t xml:space="preserve">Execution status</t>
  </si>
  <si>
    <t xml:space="preserve">Status</t>
  </si>
  <si>
    <t xml:space="preserve">Count</t>
  </si>
  <si>
    <t xml:space="preserve">P1</t>
  </si>
  <si>
    <t xml:space="preserve">P2</t>
  </si>
  <si>
    <t xml:space="preserve">P3</t>
  </si>
  <si>
    <t xml:space="preserve">Pass</t>
  </si>
  <si>
    <t xml:space="preserve">Pass rate (executed)</t>
  </si>
  <si>
    <t xml:space="preserve">Fail</t>
  </si>
  <si>
    <t xml:space="preserve">Blocked</t>
  </si>
  <si>
    <t xml:space="preserve">Not Run</t>
  </si>
  <si>
    <t xml:space="preserve">Automation decision</t>
  </si>
  <si>
    <t xml:space="preserve">Decision</t>
  </si>
  <si>
    <t xml:space="preserve">Meaning</t>
  </si>
  <si>
    <t xml:space="preserve">In the Playwright suite – runs in CI</t>
  </si>
  <si>
    <t xml:space="preserve">Automated (known defect)</t>
  </si>
  <si>
    <t xml:space="preserve">Automated as expected-to-fail until the defect is fixed</t>
  </si>
  <si>
    <t xml:space="preserve">Backlog</t>
  </si>
  <si>
    <t xml:space="preserve">Automatable, lower priority – next sprint</t>
  </si>
  <si>
    <t xml:space="preserve">Manual</t>
  </si>
  <si>
    <t xml:space="preserve">Judgement, timing-race, destructive or unconfirmed-requirement checks</t>
  </si>
  <si>
    <t xml:space="preserve">Requirement basis</t>
  </si>
  <si>
    <t xml:space="preserve">Basis</t>
  </si>
  <si>
    <t xml:space="preserve">Challenge brief</t>
  </si>
  <si>
    <t xml:space="preserve">Required by the challenge brief</t>
  </si>
  <si>
    <t xml:space="preserve">Observed behaviour</t>
  </si>
  <si>
    <t xml:space="preserve">Expected result = the site's current designed behaviour (regression check)</t>
  </si>
  <si>
    <t xml:space="preserve">Assumed (common practice)</t>
  </si>
  <si>
    <t xml:space="preserve">Expected result based on common e-commerce practice – confirm with PO</t>
  </si>
  <si>
    <t xml:space="preserve">Potential defects</t>
  </si>
  <si>
    <t xml:space="preserve">Category</t>
  </si>
  <si>
    <t xml:space="preserve">Logged</t>
  </si>
  <si>
    <t xml:space="preserve">Reproduced</t>
  </si>
  <si>
    <t xml:space="preserve">Defect</t>
  </si>
  <si>
    <t xml:space="preserve">Potential defect – requirement to confirm</t>
  </si>
  <si>
    <t xml:space="preserve">Security observation</t>
  </si>
  <si>
    <t xml:space="preserve">UX / improvement suggestion</t>
  </si>
  <si>
    <t xml:space="preserve">Writing conventions</t>
  </si>
  <si>
    <t xml:space="preserve">Item</t>
  </si>
  <si>
    <t xml:space="preserve">Rule</t>
  </si>
  <si>
    <t xml:space="preserve">Test Title</t>
  </si>
  <si>
    <t xml:space="preserve">'Verify &lt;expected behaviour&gt; [when &lt;condition&gt;]' – one objective per test case.</t>
  </si>
  <si>
    <t xml:space="preserve">Steps</t>
  </si>
  <si>
    <t xml:space="preserve">Start from a URL or page; one action per numbered step; reference data as {PLACEHOLDER} (see Test Data).</t>
  </si>
  <si>
    <t xml:space="preserve">Expected Result</t>
  </si>
  <si>
    <t xml:space="preserve">Single, observable and deterministic – no 'or', no 'record the actual result'.</t>
  </si>
  <si>
    <t xml:space="preserve">Independence</t>
  </si>
  <si>
    <t xml:space="preserve">Each case sets up its own state through Preconditions; no case depends on another case having run.</t>
  </si>
  <si>
    <t xml:space="preserve">Priority</t>
  </si>
  <si>
    <t xml:space="preserve">P1 = core flow, money or account security · P2 = key validation, persistence, data integrity · P3 = edge, UX, boundary.</t>
  </si>
  <si>
    <t xml:space="preserve">Technique</t>
  </si>
  <si>
    <t xml:space="preserve">Positive = valid input/happy path · Negative = invalid input or action · Edge = unusual but valid situation · Boundary = size/range limits.</t>
  </si>
  <si>
    <t xml:space="preserve">Known defects</t>
  </si>
  <si>
    <t xml:space="preserve">Automated cases for open defects are tagged 'known defect' and run as expected-to-fail, so CI stays green and flags when the bug is fixed.</t>
  </si>
  <si>
    <t xml:space="preserve">Revision history</t>
  </si>
  <si>
    <t xml:space="preserve">Date</t>
  </si>
  <si>
    <t xml:space="preserve">Change</t>
  </si>
  <si>
    <t xml:space="preserve">1.0</t>
  </si>
  <si>
    <t xml:space="preserve">19-Oct-2026</t>
  </si>
  <si>
    <t xml:space="preserve">Initial suite (69 cases); first execution on Chromium.</t>
  </si>
  <si>
    <t xml:space="preserve">1.1</t>
  </si>
  <si>
    <t xml:space="preserve">20-Oct-2026</t>
  </si>
  <si>
    <t xml:space="preserve">Review fixes: split compound cases, made expected results deterministic, made steps self-contained and cases independent, separated Test Type from Technique, added Requirement Basis, renumbered by feature, added 13 coverage gaps (lockout, mobile, cart isolation, performance, etc.).</t>
  </si>
  <si>
    <t xml:space="preserve">1.2</t>
  </si>
  <si>
    <t xml:space="preserve">Automation decision recorded: 32 cases automated in the Playwright framework (6 as known-defect tests), with spec file per case; remaining cases marked Backlog or Manual with the reason.</t>
  </si>
  <si>
    <t xml:space="preserve">1.3</t>
  </si>
  <si>
    <t xml:space="preserve">First full automated run on the live site found a new critical defect (PD-22: guests landing on a product page share one cart); added CRT-049. LGN-022 updated: DemoBlaze's mobile menu never collapses.</t>
  </si>
  <si>
    <t xml:space="preserve">1.4</t>
  </si>
  <si>
    <t xml:space="preserve">Test cases aligned with the automation scripts (steps, data, preconditions, expected results); automated results (88/88 on 20-Oct-2026) recorded per test case.</t>
  </si>
  <si>
    <t xml:space="preserve">1.5</t>
  </si>
  <si>
    <t xml:space="preserve">27 more cases automated (60 in total; only CRT-011 stays manual among the previously not-run cases). Full run of 167 tests passed, 17 cases failing as expected; 5 new potential defects (PD-23 to PD-27).</t>
  </si>
  <si>
    <t xml:space="preserve">1.6</t>
  </si>
  <si>
    <t xml:space="preserve">Automated runs now keep evidence for every known defect (screenshot + video, or API log) in reports/evidence/; new 'Automated evidence' column in Potential Defects. Firefox start-up race fixed at source (no retry).</t>
  </si>
  <si>
    <t xml:space="preserve">1.7</t>
  </si>
  <si>
    <t xml:space="preserve">Root causes of the latest run's 5 failures: new defect PD-28 (bought items stay in the cart when OK is pressed quickly), covered by CRT-050; LGN-005 starts on Home to avoid the shared guest cart; the performance check runs on its own and uses the median of 3 cold loads.</t>
  </si>
  <si>
    <t xml:space="preserve">TC ID</t>
  </si>
  <si>
    <t xml:space="preserve">Feature</t>
  </si>
  <si>
    <t xml:space="preserve">Test Type</t>
  </si>
  <si>
    <t xml:space="preserve">Requirement Basis</t>
  </si>
  <si>
    <t xml:space="preserve">Preconditions</t>
  </si>
  <si>
    <t xml:space="preserve">Test Steps</t>
  </si>
  <si>
    <t xml:space="preserve">Test Data</t>
  </si>
  <si>
    <t xml:space="preserve">Automation</t>
  </si>
  <si>
    <t xml:space="preserve">Actual Result</t>
  </si>
  <si>
    <t xml:space="preserve">Executed On</t>
  </si>
  <si>
    <t xml:space="preserve">Environment</t>
  </si>
  <si>
    <t xml:space="preserve">Related Defect</t>
  </si>
  <si>
    <t xml:space="preserve">Automation Script / Reason</t>
  </si>
  <si>
    <t xml:space="preserve">LGN-001</t>
  </si>
  <si>
    <t xml:space="preserve">Sign up</t>
  </si>
  <si>
    <t xml:space="preserve">Verify a new user can sign up with a unique username</t>
  </si>
  <si>
    <t xml:space="preserve">User is logged out.</t>
  </si>
  <si>
    <t xml:space="preserve">1. Go to {BASE_URL}.
2. Click 'Sign up' in the navbar.
3. Enter the username and password below.
4. Click 'Sign up'.
5. Click 'Log in', enter the same credentials and click 'Log in'.</t>
  </si>
  <si>
    <t xml:space="preserve">Username: qa_&lt;timestamp&gt;
Password: Test@1234</t>
  </si>
  <si>
    <t xml:space="preserve">Alert 'Sign up successful.' is shown and the modal closes. Login with the new credentials shows 'Welcome qa_&lt;timestamp&gt;'.</t>
  </si>
  <si>
    <t xml:space="preserve">'Sign up successful.' shown; the new account logged in.</t>
  </si>
  <si>
    <t xml:space="preserve">Automated: Chromium, Firefox, WebKit</t>
  </si>
  <si>
    <t xml:space="preserve">tests/ui/auth/signup.spec.ts</t>
  </si>
  <si>
    <t xml:space="preserve">LGN-002</t>
  </si>
  <si>
    <t xml:space="preserve">Verify sign up is rejected for an existing username</t>
  </si>
  <si>
    <t xml:space="preserve">Account {VALID_USER} exists; user is logged out.</t>
  </si>
  <si>
    <t xml:space="preserve">1. Go to {BASE_URL}.
2. Click 'Sign up'.
3. Enter {VALID_USER} and the password below.
4. Click 'Sign up'.</t>
  </si>
  <si>
    <t xml:space="preserve">Username: {VALID_USER}
Password: Other@123</t>
  </si>
  <si>
    <t xml:space="preserve">Alert 'This user already exist.' is shown. Login with {VALID_PASSWORD} still works (existing account unchanged).</t>
  </si>
  <si>
    <t xml:space="preserve">'This user already exist.' shown; the existing account's password still works.</t>
  </si>
  <si>
    <t xml:space="preserve">LGN-003</t>
  </si>
  <si>
    <t xml:space="preserve">Verify the Login modal opens with the expected fields</t>
  </si>
  <si>
    <t xml:space="preserve">1. Go to {BASE_URL}.
2. Click 'Log in' in the navbar.</t>
  </si>
  <si>
    <t xml:space="preserve">N/A</t>
  </si>
  <si>
    <t xml:space="preserve">Modal 'Log in' opens with Username and Password fields and 'Close' and 'Log in' buttons. Password input is masked.</t>
  </si>
  <si>
    <t xml:space="preserve">Modal 'Log in' with Username, masked Password, Close and Log in.</t>
  </si>
  <si>
    <t xml:space="preserve">tests/ui/auth/login.spec.ts</t>
  </si>
  <si>
    <t xml:space="preserve">LGN-004</t>
  </si>
  <si>
    <t xml:space="preserve">Verify a user can log in with valid credentials</t>
  </si>
  <si>
    <t xml:space="preserve">1. Go to {BASE_URL}.
2. Click 'Log in'.
3. Enter {VALID_USER} and {VALID_PASSWORD}.
4. Click 'Log in'.</t>
  </si>
  <si>
    <t xml:space="preserve">Username: {VALID_USER}
Password: {VALID_PASSWORD}
(Automation: throwaway account per worker by default; USER_STRATEGY=env uses {VALID_USER})</t>
  </si>
  <si>
    <t xml:space="preserve">Modal closes. Navbar shows 'Welcome {VALID_USER}' and 'Log out'; 'Log in' and 'Sign up' are hidden.</t>
  </si>
  <si>
    <t xml:space="preserve">'Welcome &lt;user&gt;' shown; Log in / Sign up hidden. (Also passed manually on 19-Oct with qa_sy_01.)</t>
  </si>
  <si>
    <t xml:space="preserve">Automated: Chromium, Firefox, WebKit, Pixel 7</t>
  </si>
  <si>
    <t xml:space="preserve">LGN-005</t>
  </si>
  <si>
    <t xml:space="preserve">Verify logging in from the Cart page keeps the user on the Cart page</t>
  </si>
  <si>
    <t xml:space="preserve">Account {VALID_USER} exists; user is logged out. {VALID_USER}'s cart has 1 item.</t>
  </si>
  <si>
    <t xml:space="preserve">1. Go to {BASE_URL}.
2. Click 'Cart' in the navbar.
3. Click 'Log in'.
4. Enter {VALID_USER} and {VALID_PASSWORD}.
5. Click 'Log in'.</t>
  </si>
  <si>
    <t xml:space="preserve">Username: {VALID_USER}
Password: {VALID_PASSWORD}</t>
  </si>
  <si>
    <t xml:space="preserve">Page reloads on cart.html, shows 'Welcome {VALID_USER}' and lists {VALID_USER}'s cart item.</t>
  </si>
  <si>
    <t xml:space="preserve">Page reloaded on cart.html with 'Welcome &lt;user&gt;' and the user's cart item listed. (The journey starts on Home: opening cart.html directly as a guest loads the shared guest cart (PD-22), hundreds of items, which once slowed the API enough to time the test out.)</t>
  </si>
  <si>
    <t xml:space="preserve">LGN-006</t>
  </si>
  <si>
    <t xml:space="preserve">Verify login is rejected with a wrong password</t>
  </si>
  <si>
    <t xml:space="preserve">1. Go to {BASE_URL}.
2. Click 'Log in'.
3. Enter {VALID_USER} and the wrong password below.
4. Click 'Log in'.</t>
  </si>
  <si>
    <t xml:space="preserve">Username: {VALID_USER}
Password: WrongPass!</t>
  </si>
  <si>
    <t xml:space="preserve">Alert 'Wrong password.' is shown. Login modal stays open and the user remains logged out.</t>
  </si>
  <si>
    <t xml:space="preserve">'Wrong password.' shown; modal stayed open; user stayed logged out.</t>
  </si>
  <si>
    <t xml:space="preserve">LGN-007</t>
  </si>
  <si>
    <t xml:space="preserve">Verify login is rejected for an unregistered username</t>
  </si>
  <si>
    <t xml:space="preserve">1. Go to {BASE_URL}.
2. Click 'Log in'.
3. Enter the username and password below.
4. Click 'Log in'.</t>
  </si>
  <si>
    <t xml:space="preserve">Username: no_such_user_&lt;timestamp&gt;
Password: Test@1234</t>
  </si>
  <si>
    <t xml:space="preserve">Alert 'User does not exist.' is shown. User remains logged out.</t>
  </si>
  <si>
    <t xml:space="preserve">'User does not exist.' shown; user stayed logged out.</t>
  </si>
  <si>
    <t xml:space="preserve">LGN-008</t>
  </si>
  <si>
    <t xml:space="preserve">Verify login is blocked when both fields are empty</t>
  </si>
  <si>
    <t xml:space="preserve">1. Go to {BASE_URL}.
2. Click 'Log in'.
3. Leave Username and Password empty.
4. Click 'Log in'.</t>
  </si>
  <si>
    <t xml:space="preserve">Username: (empty)
Password: (empty)</t>
  </si>
  <si>
    <t xml:space="preserve">Alert 'Please fill out Username and Password.' is shown. No POST /login request is sent (Network tab).</t>
  </si>
  <si>
    <t xml:space="preserve">'Please fill out Username and Password.' shown; no /login request sent.</t>
  </si>
  <si>
    <t xml:space="preserve">LGN-009</t>
  </si>
  <si>
    <t xml:space="preserve">Verify login is blocked when only the username is empty</t>
  </si>
  <si>
    <t xml:space="preserve">1. Go to {BASE_URL}.
2. Click 'Log in'.
3. Leave Username empty and enter the password below.
4. Click 'Log in'.</t>
  </si>
  <si>
    <t xml:space="preserve">Username: (empty)
Password: Test@1234</t>
  </si>
  <si>
    <t xml:space="preserve">Alert 'Please fill out Username and Password.' is shown. No POST /login request is sent. User remains logged out.</t>
  </si>
  <si>
    <t xml:space="preserve">LGN-010</t>
  </si>
  <si>
    <t xml:space="preserve">Verify login is blocked when only the password is empty</t>
  </si>
  <si>
    <t xml:space="preserve">1. Go to {BASE_URL}.
2. Click 'Log in'.
3. Enter {VALID_USER} and leave Password empty.
4. Click 'Log in'.</t>
  </si>
  <si>
    <t xml:space="preserve">Username: {VALID_USER}
Password: (empty)</t>
  </si>
  <si>
    <t xml:space="preserve">LGN-011</t>
  </si>
  <si>
    <t xml:space="preserve">Verify whitespace-only username and password are treated as empty</t>
  </si>
  <si>
    <t xml:space="preserve">1. Go to {BASE_URL}.
2. Click 'Log in'.
3. Enter 3 spaces in Username and 3 spaces in Password.
4. Click 'Log in'.</t>
  </si>
  <si>
    <t xml:space="preserve">Username: '   ' (3 spaces)
Password: '   ' (3 spaces)</t>
  </si>
  <si>
    <t xml:space="preserve">Alert 'Please fill out Username and Password.' is shown. No POST /login request is sent.</t>
  </si>
  <si>
    <t xml:space="preserve">Fails as expected (PD-05): spaces-only input was sent to the server instead of being blocked.</t>
  </si>
  <si>
    <t xml:space="preserve">PD-05</t>
  </si>
  <si>
    <t xml:space="preserve">LGN-012</t>
  </si>
  <si>
    <t xml:space="preserve">Verify leading and trailing spaces in the username are trimmed</t>
  </si>
  <si>
    <t xml:space="preserve">1. Go to {BASE_URL}.
2. Click 'Log in'.
3. Enter the username with surrounding spaces and {VALID_PASSWORD}.
4. Click 'Log in'.</t>
  </si>
  <si>
    <t xml:space="preserve">Username: ' {VALID_USER} '
Password: {VALID_PASSWORD}</t>
  </si>
  <si>
    <t xml:space="preserve">Login succeeds and the navbar shows 'Welcome {VALID_USER}' (no spaces).</t>
  </si>
  <si>
    <t xml:space="preserve">Fails as expected (PD-26): ' &lt;username&gt; ' with spaces gave 'User does not exist.'</t>
  </si>
  <si>
    <t xml:space="preserve">PD-26</t>
  </si>
  <si>
    <t xml:space="preserve">LGN-013</t>
  </si>
  <si>
    <t xml:space="preserve">Verify username matching is not case-sensitive</t>
  </si>
  <si>
    <t xml:space="preserve">1. Go to {BASE_URL}.
2. Click 'Log in'.
3. Enter {VALID_USER} in UPPERCASE and {VALID_PASSWORD}.
4. Click 'Log in'.</t>
  </si>
  <si>
    <t xml:space="preserve">Username: QA_SY_01
Password: {VALID_PASSWORD}</t>
  </si>
  <si>
    <t xml:space="preserve">Login succeeds and the navbar shows 'Welcome {VALID_USER}'.</t>
  </si>
  <si>
    <t xml:space="preserve">Fails as expected (PD-27): username in upper case gave 'User does not exist.'</t>
  </si>
  <si>
    <t xml:space="preserve">PD-27</t>
  </si>
  <si>
    <t xml:space="preserve">LGN-014</t>
  </si>
  <si>
    <t xml:space="preserve">Verify password matching is case-sensitive</t>
  </si>
  <si>
    <t xml:space="preserve">1. Go to {BASE_URL}.
2. Click 'Log in'.
3. Enter {VALID_USER} and {VALID_PASSWORD} with every letter's case inverted.
4. Click 'Log in'.</t>
  </si>
  <si>
    <t xml:space="preserve">Username: {VALID_USER}
Password: {VALID_PASSWORD} with case inverted</t>
  </si>
  <si>
    <t xml:space="preserve">Alert 'Wrong password.' is shown. User remains logged out.</t>
  </si>
  <si>
    <t xml:space="preserve">Password with inverted case gave 'Wrong password.'</t>
  </si>
  <si>
    <t xml:space="preserve">LGN-015</t>
  </si>
  <si>
    <t xml:space="preserve">Verify a password with special and Unicode characters works</t>
  </si>
  <si>
    <t xml:space="preserve">1. Go to {BASE_URL}.
2. Sign up with the username and password below.
3. Click 'Log in' and enter the same credentials.
4. Click 'Log in'.</t>
  </si>
  <si>
    <r>
      <rPr>
        <sz val="10"/>
        <rFont val="Arial"/>
        <family val="0"/>
        <charset val="1"/>
      </rPr>
      <t xml:space="preserve">Username: qa_uni_&lt;timestamp&gt;
Password: Pässwörd_#$%_</t>
    </r>
    <r>
      <rPr>
        <sz val="10"/>
        <rFont val="Noto Sans CJK SC"/>
        <family val="2"/>
      </rPr>
      <t xml:space="preserve">密码</t>
    </r>
  </si>
  <si>
    <t xml:space="preserve">Sign up succeeds and login shows 'Welcome qa_uni_&lt;timestamp&gt;'.</t>
  </si>
  <si>
    <r>
      <rPr>
        <sz val="10"/>
        <rFont val="Arial"/>
        <family val="0"/>
        <charset val="1"/>
      </rPr>
      <t xml:space="preserve">Signed up and logged in with password 'Pässwörd_#$%_</t>
    </r>
    <r>
      <rPr>
        <sz val="10"/>
        <rFont val="Noto Sans CJK SC"/>
        <family val="2"/>
      </rPr>
      <t xml:space="preserve">密码</t>
    </r>
    <r>
      <rPr>
        <sz val="10"/>
        <rFont val="Arial"/>
        <family val="0"/>
        <charset val="1"/>
      </rPr>
      <t xml:space="preserve">'.</t>
    </r>
  </si>
  <si>
    <t xml:space="preserve">LGN-016</t>
  </si>
  <si>
    <t xml:space="preserve">Verify a 300-character username is handled without errors</t>
  </si>
  <si>
    <t xml:space="preserve">1. Go to {BASE_URL}.
2. Click 'Log in'.
3. Enter a 300-character username and the password below.
4. Click 'Log in'.</t>
  </si>
  <si>
    <t xml:space="preserve">Username: unique 300-character value (qa_long_&lt;timestamp&gt; padded with 'a')
Password: Test@1234</t>
  </si>
  <si>
    <t xml:space="preserve">Alert 'User does not exist.' is shown. No JavaScript error in the Console; the page stays usable.</t>
  </si>
  <si>
    <t xml:space="preserve">Unique 300-character username: 'User does not exist.', no JavaScript errors. Note: the username 'a' x 300 is already registered by someone, so sign-up accepts 300-character usernames.</t>
  </si>
  <si>
    <t xml:space="preserve">LGN-017</t>
  </si>
  <si>
    <t xml:space="preserve">Verify SQL-injection input does not bypass login</t>
  </si>
  <si>
    <t xml:space="preserve">1. Go to {BASE_URL}.
2. Click 'Log in'.
3. Enter the injection string in both fields.
4. Click 'Log in'.</t>
  </si>
  <si>
    <t xml:space="preserve">Username: ' OR '1'='1
Password: ' OR '1'='1</t>
  </si>
  <si>
    <t xml:space="preserve">Login is rejected with an error alert and the user remains logged out (no bypass, no server error).</t>
  </si>
  <si>
    <t xml:space="preserve">Injection string rejected with a normal login error; user stayed logged out.</t>
  </si>
  <si>
    <t xml:space="preserve">tests/security/login-security.spec.ts</t>
  </si>
  <si>
    <t xml:space="preserve">LGN-018</t>
  </si>
  <si>
    <t xml:space="preserve">Verify repeated failed logins trigger a lockout or rate limit</t>
  </si>
  <si>
    <t xml:space="preserve">A dedicated test account exists (automation uses a throwaway account, so a lockout affects no one else); user is logged out.</t>
  </si>
  <si>
    <t xml:space="preserve">1. Go to {BASE_URL}.
2. Attempt to log in as {VALID_USER} with a wrong password 10 times in a row.
3. Note the response to each attempt.</t>
  </si>
  <si>
    <t xml:space="preserve">After the configured threshold (e.g. 5 attempts, to confirm with PO), further attempts are blocked with a lockout, CAPTCHA or rate-limit message.</t>
  </si>
  <si>
    <t xml:space="preserve">Fails as expected (PD-25): the 10th consecutive wrong password still returned 'Wrong password.' – no lockout or rate limit.</t>
  </si>
  <si>
    <t xml:space="preserve">PD-25</t>
  </si>
  <si>
    <t xml:space="preserve">LGN-019</t>
  </si>
  <si>
    <t xml:space="preserve">Verify double-clicking 'Log in' logs the user in once</t>
  </si>
  <si>
    <t xml:space="preserve">1. Go to {BASE_URL}.
2. Click 'Log in' and enter {VALID_USER} and {VALID_PASSWORD}.
3. Double-click the 'Log in' button.</t>
  </si>
  <si>
    <t xml:space="preserve">User is logged in ('Welcome {VALID_USER}'). Only one POST /login request is sent; no error alert.</t>
  </si>
  <si>
    <t xml:space="preserve">Fails as expected (PD-23): double-click sent two POST /login requests.</t>
  </si>
  <si>
    <t xml:space="preserve">PD-23</t>
  </si>
  <si>
    <t xml:space="preserve">LGN-020</t>
  </si>
  <si>
    <t xml:space="preserve">Verify pressing Enter in the Password field submits the login</t>
  </si>
  <si>
    <t xml:space="preserve">1. Go to {BASE_URL}.
2. Click 'Log in' and enter {VALID_USER} and {VALID_PASSWORD}.
3. Press Enter while the cursor is in the Password field.</t>
  </si>
  <si>
    <t xml:space="preserve">Login is submitted and the navbar shows 'Welcome {VALID_USER}'.</t>
  </si>
  <si>
    <t xml:space="preserve">Fails as expected (PD-10): Enter in the Password field did not submit the form.</t>
  </si>
  <si>
    <t xml:space="preserve">PD-10</t>
  </si>
  <si>
    <t xml:space="preserve">LGN-021</t>
  </si>
  <si>
    <t xml:space="preserve">Verify the Login modal clears its fields after Close</t>
  </si>
  <si>
    <t xml:space="preserve">1. Go to {BASE_URL}.
2. Click 'Log in' and type the username below.
3. Click 'Close'.
4. Click 'Log in' again.</t>
  </si>
  <si>
    <t xml:space="preserve">Username: anyuser</t>
  </si>
  <si>
    <t xml:space="preserve">Modal closes and the user remains logged out. When reopened, Username and Password are empty.</t>
  </si>
  <si>
    <t xml:space="preserve">Fails as expected (PD-11): reopened Login modal still contained the typed values.</t>
  </si>
  <si>
    <t xml:space="preserve">PD-11</t>
  </si>
  <si>
    <t xml:space="preserve">LGN-022</t>
  </si>
  <si>
    <t xml:space="preserve">Verify login works at mobile width</t>
  </si>
  <si>
    <t xml:space="preserve">Account {VALID_USER} exists; user is logged out. Mobile emulation: Pixel 7 (412 x 915).</t>
  </si>
  <si>
    <t xml:space="preserve">1. Go to {BASE_URL}.
2. Check the menu toggle (☰) is shown in the navbar.
3. Tap 'Log in' (expand the menu first if it is collapsed).
4. Enter {VALID_USER} and {VALID_PASSWORD} and tap 'Log in'.</t>
  </si>
  <si>
    <t xml:space="preserve">The mobile menu toggle is shown and 'Log in' is reachable. After login, the menu shows 'Welcome {VALID_USER}' and 'Log out'.</t>
  </si>
  <si>
    <t xml:space="preserve">Menu toggle shown; logged in from the mobile menu; 'Welcome' and 'Log out' shown.</t>
  </si>
  <si>
    <t xml:space="preserve">Automated: Pixel 7 (mobile Chromium)</t>
  </si>
  <si>
    <t xml:space="preserve">LGN-023</t>
  </si>
  <si>
    <t xml:space="preserve">Session</t>
  </si>
  <si>
    <t xml:space="preserve">Verify the session persists after a page refresh</t>
  </si>
  <si>
    <t xml:space="preserve">Logged in as {VALID_USER}.</t>
  </si>
  <si>
    <t xml:space="preserve">1. Go to {BASE_URL}.
2. Refresh the page (F5).</t>
  </si>
  <si>
    <t xml:space="preserve">User stays logged in; navbar still shows 'Welcome {VALID_USER}'.</t>
  </si>
  <si>
    <t xml:space="preserve">Still 'Welcome &lt;user&gt;' after refresh.</t>
  </si>
  <si>
    <t xml:space="preserve">tests/ui/auth/session.spec.ts</t>
  </si>
  <si>
    <t xml:space="preserve">LGN-024</t>
  </si>
  <si>
    <t xml:space="preserve">Verify the logged-in state is shown on every page</t>
  </si>
  <si>
    <t xml:space="preserve">1. Go to {BASE_URL}.
2. Open the 'Samsung galaxy s6' product page.
3. Click 'Cart'.
4. Click 'Home'.</t>
  </si>
  <si>
    <t xml:space="preserve">'Welcome {VALID_USER}' and 'Log out' are shown on the Home, product and Cart pages.</t>
  </si>
  <si>
    <t xml:space="preserve">'Welcome qa_sy_01' and 'Log out' shown on Home, product and Cart pages.</t>
  </si>
  <si>
    <t xml:space="preserve">Chromium – desktop</t>
  </si>
  <si>
    <t xml:space="preserve">Automatable – lower priority for the demo; next sprint</t>
  </si>
  <si>
    <t xml:space="preserve">LGN-025</t>
  </si>
  <si>
    <t xml:space="preserve">Verify a tampered auth cookie is rejected</t>
  </si>
  <si>
    <t xml:space="preserve">1. Go to {BASE_URL}.
2. Open DevTools &gt; Application &gt; Cookies and set 'tokenp_' to the value below.
3. Refresh the page.</t>
  </si>
  <si>
    <t xml:space="preserve">tokenp_ = invalidtoken123</t>
  </si>
  <si>
    <t xml:space="preserve">An error tells the user the session is invalid, and the navbar shows 'Log in' and 'Sign up' (logged-out state).</t>
  </si>
  <si>
    <t xml:space="preserve">Alert 'Bad parameter, token malformed.'; navbar returned to the logged-out state.</t>
  </si>
  <si>
    <t xml:space="preserve">LGN-026</t>
  </si>
  <si>
    <t xml:space="preserve">Verify the auth token cannot be predicted from the username</t>
  </si>
  <si>
    <t xml:space="preserve">1. Open DevTools &gt; Application &gt; Cookies and copy the 'tokenp_' value.
2. Base64-decode it (e.g. atob() in the Console).</t>
  </si>
  <si>
    <t xml:space="preserve">The token is random and opaque; decoding it does not reveal the username or any predictable value.</t>
  </si>
  <si>
    <t xml:space="preserve">Fails as expected (PD-18): token decodes to username + number.</t>
  </si>
  <si>
    <t xml:space="preserve">PD-18</t>
  </si>
  <si>
    <t xml:space="preserve">tests/security/session-security.spec.ts</t>
  </si>
  <si>
    <t xml:space="preserve">LGN-027</t>
  </si>
  <si>
    <t xml:space="preserve">Verify the auth cookie has the Secure and HttpOnly flags</t>
  </si>
  <si>
    <t xml:space="preserve">1. Open DevTools &gt; Application &gt; Cookies and select 'tokenp_'.
2. In the Console, run document.cookie.</t>
  </si>
  <si>
    <t xml:space="preserve">'tokenp_' has Secure and HttpOnly ticked, and document.cookie does not return it.</t>
  </si>
  <si>
    <t xml:space="preserve">Fails as expected (PD-08): tokenp_ is set without Secure/HttpOnly.</t>
  </si>
  <si>
    <t xml:space="preserve">PD-08</t>
  </si>
  <si>
    <t xml:space="preserve">LGN-028</t>
  </si>
  <si>
    <t xml:space="preserve">Verify login requests are sent over HTTPS</t>
  </si>
  <si>
    <t xml:space="preserve">1. Open DevTools &gt; Network.
2. Go to {BASE_URL}.
3. Log in as {VALID_USER}.
4. Select the POST /login request and check its URL.</t>
  </si>
  <si>
    <t xml:space="preserve">The request URL starts with https:// (https://api.demoblaze.com/login).</t>
  </si>
  <si>
    <t xml:space="preserve">POST https://api.demoblaze.com/login (HTTPS).</t>
  </si>
  <si>
    <t xml:space="preserve">LGN-029</t>
  </si>
  <si>
    <t xml:space="preserve">Verify the password is not sent in a reversible encoding</t>
  </si>
  <si>
    <t xml:space="preserve">1. Open DevTools &gt; Network.
2. Go to {BASE_URL}.
3. Log in as {VALID_USER}.
4. Select the POST /login request and view the request body.</t>
  </si>
  <si>
    <t xml:space="preserve">The request body does not contain the password in plain text or a reversible encoding such as Base64.</t>
  </si>
  <si>
    <t xml:space="preserve">Fails as expected (PD-07): request body contains the password Base64-encoded.</t>
  </si>
  <si>
    <t xml:space="preserve">PD-07</t>
  </si>
  <si>
    <t xml:space="preserve">LGN-030</t>
  </si>
  <si>
    <t xml:space="preserve">Logout</t>
  </si>
  <si>
    <t xml:space="preserve">Verify a user can log out</t>
  </si>
  <si>
    <t xml:space="preserve">1. Go to {BASE_URL}.
2. Click 'Log out' in the navbar.</t>
  </si>
  <si>
    <t xml:space="preserve">User is taken to the Home page. Navbar shows 'Log in' and 'Sign up'; 'Welcome' and 'Log out' are hidden. Cookie 'tokenp_' is removed.</t>
  </si>
  <si>
    <t xml:space="preserve">Returned to Home with logged-out navbar; tokenp_ cookie removed.</t>
  </si>
  <si>
    <t xml:space="preserve">LGN-031</t>
  </si>
  <si>
    <t xml:space="preserve">Verify browser Back after logout does not restore the session</t>
  </si>
  <si>
    <t xml:space="preserve">1. Go to {BASE_URL}.
2. Click 'Log out'.
3. Press the browser Back button.
4. Refresh the page.</t>
  </si>
  <si>
    <t xml:space="preserve">After refresh the navbar shows 'Log in' and 'Sign up'; no 'Welcome {VALID_USER}'.</t>
  </si>
  <si>
    <t xml:space="preserve">Back + refresh after logout showed the logged-out navbar.</t>
  </si>
  <si>
    <t xml:space="preserve">LGN-032</t>
  </si>
  <si>
    <t xml:space="preserve">Verify POST /login returns a token for valid credentials</t>
  </si>
  <si>
    <t xml:space="preserve">Account {VALID_USER} exists.</t>
  </si>
  <si>
    <t xml:space="preserve">1. Send POST {API_URL}/login with the JSON body below.</t>
  </si>
  <si>
    <t xml:space="preserve">Body: {"username": "{VALID_USER}", "password": "&lt;Base64 of {VALID_PASSWORD}&gt;"}</t>
  </si>
  <si>
    <t xml:space="preserve">HTTP 200. Response body starts with 'Auth_token: ' followed by a non-empty token.</t>
  </si>
  <si>
    <t xml:space="preserve">HTTP 200; body 'Auth_token: &lt;token&gt;'.</t>
  </si>
  <si>
    <t xml:space="preserve">Automated: API</t>
  </si>
  <si>
    <t xml:space="preserve">tests/api/auth.api.spec.ts</t>
  </si>
  <si>
    <t xml:space="preserve">LGN-033</t>
  </si>
  <si>
    <t xml:space="preserve">Verify POST /login rejects a wrong password</t>
  </si>
  <si>
    <t xml:space="preserve">Body: {"username": "{VALID_USER}", "password": "&lt;Base64 of WrongPass!&gt;"}</t>
  </si>
  <si>
    <t xml:space="preserve">Response body is {"errorMessage": "Wrong password."}; no 'Auth_token' is returned.</t>
  </si>
  <si>
    <t xml:space="preserve">Body {"errorMessage": "Wrong password."}; no token.</t>
  </si>
  <si>
    <t xml:space="preserve">LGN-034</t>
  </si>
  <si>
    <t xml:space="preserve">Verify POST /check returns 401 for an invalid token</t>
  </si>
  <si>
    <t xml:space="preserve">1. Send POST {API_URL}/check with the JSON body below.
2. Check the HTTP status code.</t>
  </si>
  <si>
    <t xml:space="preserve">Body: {"token": "garbage"}</t>
  </si>
  <si>
    <t xml:space="preserve">HTTP 401 Unauthorized.</t>
  </si>
  <si>
    <t xml:space="preserve">Fails as expected (PD-19): HTTP 200 + errorMessage instead of 401.</t>
  </si>
  <si>
    <t xml:space="preserve">PD-19</t>
  </si>
  <si>
    <t xml:space="preserve">CRT-001</t>
  </si>
  <si>
    <t xml:space="preserve">Product page</t>
  </si>
  <si>
    <t xml:space="preserve">Verify the product page shows name, price and description</t>
  </si>
  <si>
    <t xml:space="preserve">1. Go to {BASE_URL}.
2. Click 'Samsung galaxy s6'.</t>
  </si>
  <si>
    <t xml:space="preserve">Product: Samsung galaxy s6</t>
  </si>
  <si>
    <t xml:space="preserve">Page shows 'Samsung galaxy s6', '$360 *includes tax', a product description and an 'Add to cart' button.</t>
  </si>
  <si>
    <t xml:space="preserve">Page showed 'Samsung galaxy s6', '$360 *includes tax', description and 'Add to cart'.</t>
  </si>
  <si>
    <t xml:space="preserve">CRT-002</t>
  </si>
  <si>
    <t xml:space="preserve">Verify product prices are consistent from the home page to checkout</t>
  </si>
  <si>
    <t xml:space="preserve">Logged in as {VALID_USER}; cart is empty.</t>
  </si>
  <si>
    <t xml:space="preserve">1. Go to {BASE_URL}.
2. Note the prices on the 'Samsung galaxy s6' and 'Nokia lumia 1520' cards.
3. Open each product, note its price and click 'Add to cart'.
4. Click 'Cart' in the navbar.
5. Click 'Place Order'.
6. Fill Name and Credit card and click 'Purchase'.</t>
  </si>
  <si>
    <t xml:space="preserve">Products: Samsung galaxy s6, Nokia lumia 1520
Name: Wong Test
Card: 4111111111111111</t>
  </si>
  <si>
    <t xml:space="preserve">Each price is identical on the home card, product page and cart row (360, 820). Confirmation Amount equals the sum of the cart rows (1180 USD).</t>
  </si>
  <si>
    <t xml:space="preserve">Samsung 360 and Nokia 820 identical on home card, product page and cart row. Confirmation Amount 1180 USD = 360 + 820.</t>
  </si>
  <si>
    <t xml:space="preserve">CRT-003</t>
  </si>
  <si>
    <t xml:space="preserve">Verify an unknown product ID shows a 'not found' page</t>
  </si>
  <si>
    <t xml:space="preserve">1. Go to {BASE_URL}/prod.html?idp_=9999.
2. Click 'Add to cart' if shown.</t>
  </si>
  <si>
    <t xml:space="preserve">idp_ = 9999</t>
  </si>
  <si>
    <t xml:space="preserve">A 'Product not found' message is shown and 'Add to cart' is not available.</t>
  </si>
  <si>
    <t xml:space="preserve">Page showed 'undefined $undefined' with an active 'Add to cart'; clicking it gave alert 'Bad parameter, token malformed.'</t>
  </si>
  <si>
    <t xml:space="preserve">PD-15</t>
  </si>
  <si>
    <t xml:space="preserve">CRT-004</t>
  </si>
  <si>
    <t xml:space="preserve">Verify the product page without an ID shows a friendly error</t>
  </si>
  <si>
    <t xml:space="preserve">1. Open DevTools &gt; Console.
2. Go to {BASE_URL}/prod.html (no query string).</t>
  </si>
  <si>
    <t xml:space="preserve">User sees a friendly error or is redirected to Home. No JavaScript error in the Console.</t>
  </si>
  <si>
    <t xml:space="preserve">Blank product area; Console: Uncaught TypeError: Cannot read properties of undefined (reading 'split') at prod.js:39.</t>
  </si>
  <si>
    <t xml:space="preserve">PD-16</t>
  </si>
  <si>
    <t xml:space="preserve">Console-error judgement – manual (automatable later)</t>
  </si>
  <si>
    <t xml:space="preserve">CRT-005</t>
  </si>
  <si>
    <t xml:space="preserve">Verify a product from the Laptops category can be added to the cart</t>
  </si>
  <si>
    <t xml:space="preserve">1. Go to {BASE_URL}.
2. Click 'Laptops' in the Categories list.
3. Click 'Sony vaio i5'.
4. Click 'Add to cart' and accept the alert.
5. Click 'Cart'.</t>
  </si>
  <si>
    <t xml:space="preserve">Product: Sony vaio i5 ($790)</t>
  </si>
  <si>
    <t xml:space="preserve">Cart has one 'Sony vaio i5' row at 790; Total is 790.</t>
  </si>
  <si>
    <t xml:space="preserve">Laptops filter showed only laptops; Sony vaio i5 added; cart 1 row at 790.</t>
  </si>
  <si>
    <t xml:space="preserve">tests/ui/cart/add-to-cart.spec.ts</t>
  </si>
  <si>
    <t xml:space="preserve">CRT-006</t>
  </si>
  <si>
    <t xml:space="preserve">Add to cart</t>
  </si>
  <si>
    <t xml:space="preserve">Verify a logged-in user can add a product to the cart</t>
  </si>
  <si>
    <t xml:space="preserve">1. Go to {BASE_URL}.
2. Click 'Samsung galaxy s6'.
3. Click 'Add to cart'.
4. Accept the alert.
5. Click 'Cart'.</t>
  </si>
  <si>
    <t xml:space="preserve">Product: Samsung galaxy s6 ($360)</t>
  </si>
  <si>
    <t xml:space="preserve">Alert 'Product added.' is shown. Cart has one 'Samsung galaxy s6' row at 360; Total is 360.</t>
  </si>
  <si>
    <t xml:space="preserve">'Product added.'; one Samsung galaxy s6 row at 360; Total 360.</t>
  </si>
  <si>
    <t xml:space="preserve">PD-06</t>
  </si>
  <si>
    <t xml:space="preserve">CRT-007</t>
  </si>
  <si>
    <t xml:space="preserve">Verify a guest can add a product to the cart</t>
  </si>
  <si>
    <t xml:space="preserve">User is logged out; the journey starts on the Home page (where DemoBlaze creates the guest id).</t>
  </si>
  <si>
    <t xml:space="preserve">1. Go to {BASE_URL}.
2. Click 'Nokia lumia 1520'.
3. Click 'Add to cart'.
4. Accept the alert.
5. Click 'Cart'.</t>
  </si>
  <si>
    <t xml:space="preserve">Product: Nokia lumia 1520 ($820)</t>
  </si>
  <si>
    <t xml:space="preserve">An alert confirms the product was added. Cart has one 'Nokia lumia 1520' row at 820; Total is 820. (Guest alert wording differs from the logged-in text – tracked as PD-06, not part of this check.)</t>
  </si>
  <si>
    <t xml:space="preserve">Item reached the guest's own cart (1 row, 820). Alert wording not asserted (PD-06).</t>
  </si>
  <si>
    <t xml:space="preserve">CRT-008</t>
  </si>
  <si>
    <t xml:space="preserve">Verify multiple different products can be added</t>
  </si>
  <si>
    <t xml:space="preserve">1. Go to {BASE_URL}.
2. Add 'Samsung galaxy s6' to the cart.
3. Add 'Nokia lumia 1520' to the cart.
4. Click 'Cart'.</t>
  </si>
  <si>
    <t xml:space="preserve">Products: Samsung galaxy s6 ($360), Nokia lumia 1520 ($820)</t>
  </si>
  <si>
    <t xml:space="preserve">Both products are listed with their prices; Total equals the sum of the rows (1180).</t>
  </si>
  <si>
    <t xml:space="preserve">Both rows listed with their prices; Total 1180.</t>
  </si>
  <si>
    <t xml:space="preserve">CRT-009</t>
  </si>
  <si>
    <t xml:space="preserve">Verify adding the same product twice creates two rows</t>
  </si>
  <si>
    <t xml:space="preserve">1. Go to {BASE_URL}.
2. Add 'Samsung galaxy s6' to the cart.
3. Add 'Samsung galaxy s6' again.
4. Click 'Cart'.</t>
  </si>
  <si>
    <t xml:space="preserve">Product: Samsung galaxy s6 x 2</t>
  </si>
  <si>
    <t xml:space="preserve">Two 'Samsung galaxy s6' rows at 360 each; Total is 720.</t>
  </si>
  <si>
    <t xml:space="preserve">Same product added repeatedly appeared as separate 360 rows (no quantity column); Total correct.</t>
  </si>
  <si>
    <t xml:space="preserve">CRT-010</t>
  </si>
  <si>
    <t xml:space="preserve">Verify every 'Product added.' alert results in a saved item</t>
  </si>
  <si>
    <t xml:space="preserve">1. Go to {BASE_URL}.
2. Add 'Samsung galaxy s6' twice and 'Nokia lumia 1520' once, accepting each alert.
3. Click 'Cart'.</t>
  </si>
  <si>
    <t xml:space="preserve">Samsung galaxy s6 x 2, Nokia lumia 1520 x 1</t>
  </si>
  <si>
    <t xml:space="preserve">Cart has 3 rows (2 x Samsung galaxy s6, 1 x Nokia lumia 1520); Total is 1540.</t>
  </si>
  <si>
    <t xml:space="preserve">3 'Product added.' alerts, but only 'Nokia lumia 1520' was saved (1 row, Total 820). Not reproduced on later runs.</t>
  </si>
  <si>
    <t xml:space="preserve">PD-14</t>
  </si>
  <si>
    <t xml:space="preserve">CRT-011</t>
  </si>
  <si>
    <t xml:space="preserve">Verify rapid repeated 'Add to cart' clicks are all saved</t>
  </si>
  <si>
    <t xml:space="preserve">1. Go to {BASE_URL}.
2. Click 'Nexus 6'.
3. Click 'Add to cart' 3 times quickly, accepting each alert.
4. Click 'Cart'.</t>
  </si>
  <si>
    <t xml:space="preserve">Product: Nexus 6 ($650) x 3</t>
  </si>
  <si>
    <t xml:space="preserve">Cart has 3 'Nexus 6' rows; Total is 1950. No error alerts.</t>
  </si>
  <si>
    <t xml:space="preserve">Result depends on the intermittent lost-items defect (PD-14), so an automated test would pass or fail at random</t>
  </si>
  <si>
    <t xml:space="preserve">CRT-012</t>
  </si>
  <si>
    <t xml:space="preserve">Cart page</t>
  </si>
  <si>
    <t xml:space="preserve">Verify an empty cart shows an empty-cart message</t>
  </si>
  <si>
    <t xml:space="preserve">1. Go to {BASE_URL}.
2. Click 'Cart'.</t>
  </si>
  <si>
    <t xml:space="preserve">A message such as 'Your cart is empty' is shown and Total shows 0.</t>
  </si>
  <si>
    <t xml:space="preserve">No rows, no empty-cart message, Total blank.</t>
  </si>
  <si>
    <t xml:space="preserve">PD-13</t>
  </si>
  <si>
    <t xml:space="preserve">CRT-013</t>
  </si>
  <si>
    <t xml:space="preserve">Verify deleting one item updates the cart and Total</t>
  </si>
  <si>
    <t xml:space="preserve">Logged in as {VALID_USER}; cart has Samsung galaxy s6 and Nokia lumia 1520.</t>
  </si>
  <si>
    <t xml:space="preserve">1. Go to {BASE_URL}.
2. Click 'Cart' and note the Total.
3. Click 'Delete' on the 'Samsung galaxy s6' row.</t>
  </si>
  <si>
    <t xml:space="preserve">Deleted item: Samsung galaxy s6 ($360)</t>
  </si>
  <si>
    <t xml:space="preserve">The 'Samsung galaxy s6' row is removed, other rows remain, and the Total decreases by 360.</t>
  </si>
  <si>
    <t xml:space="preserve">Samsung row removed, Nokia kept; Total 1180 -&gt; 820.</t>
  </si>
  <si>
    <t xml:space="preserve">tests/ui/cart/cart-management.spec.ts</t>
  </si>
  <si>
    <t xml:space="preserve">CRT-014</t>
  </si>
  <si>
    <t xml:space="preserve">Verify deleting all items empties the cart</t>
  </si>
  <si>
    <t xml:space="preserve">Logged in as {VALID_USER}; cart has 2 items.</t>
  </si>
  <si>
    <t xml:space="preserve">1. Go to {BASE_URL}.
2. Click 'Cart'.
3. Click 'Delete' on each row until none remain.</t>
  </si>
  <si>
    <t xml:space="preserve">No rows remain in the cart table.</t>
  </si>
  <si>
    <t xml:space="preserve">Both items deleted one by one; cart table empty.</t>
  </si>
  <si>
    <t xml:space="preserve">CRT-015</t>
  </si>
  <si>
    <t xml:space="preserve">Verify Place Order shows the updated Total after a delete</t>
  </si>
  <si>
    <t xml:space="preserve">Logged in as {VALID_USER}; cart has 2 or more items including Samsung galaxy s6.</t>
  </si>
  <si>
    <t xml:space="preserve">1. Go to {BASE_URL}.
2. Click 'Cart' and note the Total.
3. Click 'Delete' on one 'Samsung galaxy s6' row.
4. Click 'Place Order'.</t>
  </si>
  <si>
    <t xml:space="preserve">The Place Order modal shows 'Total: &lt;previous Total - 360&gt;'.</t>
  </si>
  <si>
    <t xml:space="preserve">After deleting a 360 item, the modal showed 'Total: 1540' (1900 - 360).</t>
  </si>
  <si>
    <t xml:space="preserve">CRT-016</t>
  </si>
  <si>
    <t xml:space="preserve">Verify the cart Total is correct with 10 items</t>
  </si>
  <si>
    <t xml:space="preserve">1. Go to {BASE_URL}.
2. Add the 10 products listed in Test Data (one each, plus a second Samsung galaxy s6).
3. Click 'Cart'.</t>
  </si>
  <si>
    <t xml:space="preserve">9 home-page products + 1 extra Samsung galaxy s6 (expected Total in Test Data)</t>
  </si>
  <si>
    <t xml:space="preserve">Cart lists 10 rows; Total equals the sum of the 10 prices (6380).</t>
  </si>
  <si>
    <t xml:space="preserve">10 rows listed; Total 6380.</t>
  </si>
  <si>
    <t xml:space="preserve">CRT-017</t>
  </si>
  <si>
    <t xml:space="preserve">Verify cart contents persist after a page refresh</t>
  </si>
  <si>
    <t xml:space="preserve">Logged in as {VALID_USER}; cart has 1 or more items.</t>
  </si>
  <si>
    <t xml:space="preserve">1. Go to {BASE_URL}.
2. Click 'Cart' and note the rows and Total.
3. Refresh the page (F5).</t>
  </si>
  <si>
    <t xml:space="preserve">The same rows and the same Total are shown after the refresh.</t>
  </si>
  <si>
    <t xml:space="preserve">Rows and Total unchanged after reload.</t>
  </si>
  <si>
    <t xml:space="preserve">CRT-018</t>
  </si>
  <si>
    <t xml:space="preserve">Verify the Cart page and Place Order form are usable at mobile width</t>
  </si>
  <si>
    <t xml:space="preserve">Logged in as {VALID_USER}; cart has 2 items. Viewport 375 x 812.</t>
  </si>
  <si>
    <t xml:space="preserve">1. Go to {BASE_URL}.
2. Open the menu (☰) and tap 'Cart'.
3. Tap 'Place Order'.</t>
  </si>
  <si>
    <t xml:space="preserve">Rows, Total and 'Place Order' are visible without horizontal scrolling; all modal fields and buttons can be used.</t>
  </si>
  <si>
    <t xml:space="preserve">No horizontal scrolling; rows, Total and Place Order visible; modal fields usable; Purchase and Close in view.</t>
  </si>
  <si>
    <t xml:space="preserve">CRT-019</t>
  </si>
  <si>
    <t xml:space="preserve">Verify the Cart page loads within 3 seconds</t>
  </si>
  <si>
    <t xml:space="preserve">Logged in as {VALID_USER}; cart has 5 items; broadband connection.</t>
  </si>
  <si>
    <t xml:space="preserve">1. Go to {BASE_URL}/cart.html and start timing.
2. Stop timing when all rows and the Total are displayed.</t>
  </si>
  <si>
    <t xml:space="preserve">All rows and the Total are displayed within 3 seconds.</t>
  </si>
  <si>
    <t xml:space="preserve">Cart ready in 2803 ms with 5 items (budget 3000 ms); 2957 ms the run before. A full-suite run measured 3415 ms, but there the page competed with ~160 parallel browser tests, so perf now runs on its own (npm run test:perf) and uses the median of 3 cold loads. Little headroom: the cart calls /view once per item, so load time grows with cart size.</t>
  </si>
  <si>
    <t xml:space="preserve">Automated: Chromium (perf)</t>
  </si>
  <si>
    <t xml:space="preserve">tests/perf/cart-page.perf.spec.ts</t>
  </si>
  <si>
    <t xml:space="preserve">CRT-020</t>
  </si>
  <si>
    <t xml:space="preserve">Cart persistence</t>
  </si>
  <si>
    <t xml:space="preserve">Verify the cart is kept after logging out and back in</t>
  </si>
  <si>
    <t xml:space="preserve">Logged in as {VALID_USER}; cart has 1 item (Samsung galaxy s6).</t>
  </si>
  <si>
    <t xml:space="preserve">1. Go to {BASE_URL}.
2. Click 'Log out'.
3. Log in again as {VALID_USER}.
4. Click 'Cart'.</t>
  </si>
  <si>
    <t xml:space="preserve">The 'Samsung galaxy s6' row is still in the cart.</t>
  </si>
  <si>
    <t xml:space="preserve">Item still in the cart after logging out and back in.</t>
  </si>
  <si>
    <t xml:space="preserve">tests/ui/cart/cart-persistence.spec.ts</t>
  </si>
  <si>
    <t xml:space="preserve">CRT-021</t>
  </si>
  <si>
    <t xml:space="preserve">Verify a user's cart is not shown after logout</t>
  </si>
  <si>
    <t xml:space="preserve">1. Go to {BASE_URL}.
2. Click 'Log out'.
3. Click 'Cart'.</t>
  </si>
  <si>
    <t xml:space="preserve">None of {VALID_USER}'s items are shown in the guest cart.</t>
  </si>
  <si>
    <t xml:space="preserve">Guest cart after logout was empty.</t>
  </si>
  <si>
    <t xml:space="preserve">CRT-022</t>
  </si>
  <si>
    <t xml:space="preserve">Verify a user cannot see another user's cart items</t>
  </si>
  <si>
    <t xml:space="preserve">{VALID_USER}'s cart has Samsung galaxy s6. A second account {USER_B} exists with an empty cart (automation creates it). User is logged out.</t>
  </si>
  <si>
    <t xml:space="preserve">1. Go to {BASE_URL}.
2. Log in as {USER_B}.
3. Click 'Cart'.</t>
  </si>
  <si>
    <t xml:space="preserve">Username: {USER_B}
Password: {USER_B_PASSWORD}</t>
  </si>
  <si>
    <t xml:space="preserve">{USER_B}'s cart is empty; no items from {VALID_USER} are shown.</t>
  </si>
  <si>
    <t xml:space="preserve">Second user's cart was empty; user A's item not visible.</t>
  </si>
  <si>
    <t xml:space="preserve">CRT-023</t>
  </si>
  <si>
    <t xml:space="preserve">Verify guest cart items are kept after logging in</t>
  </si>
  <si>
    <t xml:space="preserve">Account {VALID_USER} exists; user is logged out. {VALID_USER}'s cart is empty.</t>
  </si>
  <si>
    <t xml:space="preserve">1. Go to {BASE_URL}.
2. As a guest, add 'HTC One M9' to the cart.
3. Log in as {VALID_USER}.
4. Click 'Cart'.</t>
  </si>
  <si>
    <t xml:space="preserve">Product: HTC One M9 ($700)</t>
  </si>
  <si>
    <t xml:space="preserve">The 'HTC One M9' row added as a guest is in {VALID_USER}'s cart.</t>
  </si>
  <si>
    <t xml:space="preserve">Fails as expected (PD-09): item added as a guest was not in the cart after login.</t>
  </si>
  <si>
    <t xml:space="preserve">PD-09</t>
  </si>
  <si>
    <t xml:space="preserve">CRT-024</t>
  </si>
  <si>
    <t xml:space="preserve">Place order</t>
  </si>
  <si>
    <t xml:space="preserve">Verify the Place Order form opens with the cart Total</t>
  </si>
  <si>
    <t xml:space="preserve">Logged in as {VALID_USER}; cart has Samsung galaxy s6 and Nokia lumia 1520 (Total 1180).</t>
  </si>
  <si>
    <t xml:space="preserve">1. Go to {BASE_URL}.
2. Click 'Cart' in the navbar.
3. Click 'Place Order'.</t>
  </si>
  <si>
    <t xml:space="preserve">Modal 'Place order' shows 'Total: 1180', fields Name, Country, City, Credit card, Month, Year, and 'Close' and 'Purchase' buttons.</t>
  </si>
  <si>
    <t xml:space="preserve">Modal showed 'Total: 1180', all 6 fields, Close and Purchase.</t>
  </si>
  <si>
    <t xml:space="preserve">tests/ui/checkout/place-order.spec.ts</t>
  </si>
  <si>
    <t xml:space="preserve">CRT-025</t>
  </si>
  <si>
    <t xml:space="preserve">Verify a logged-in user can place an order with valid details</t>
  </si>
  <si>
    <t xml:space="preserve">1. Go to {BASE_URL}.
2. Open 'Samsung galaxy s6', click 'Add to cart' and accept the alert.
3. Click 'Home', open 'Nokia lumia 1520', click 'Add to cart' and accept the alert.
4. Click 'Cart' and check both rows and Total 1180.
5. Click 'Place Order' and check the modal shows 'Total: 1180'.
6. Fill all fields with the test data.
7. Click 'Purchase'.
8. Click 'OK'.</t>
  </si>
  <si>
    <t xml:space="preserve">Products: Samsung galaxy s6, Nokia lumia 1520
Name: Wong Test
Country: Malaysia
City: Kuala Lumpur
Card: 4111111111111111
Month: 10
Year: 2027</t>
  </si>
  <si>
    <t xml:space="preserve">'Thank you for your purchase!' shows an Id, 'Amount: 1180 USD', the card number and the name entered. 'OK' returns to the Home page. (Date is checked in CRT-027.)</t>
  </si>
  <si>
    <t xml:space="preserve">Full UI journey: cart Total 1180; modal 'Total: 1180'; receipt 'Amount: 1180 USD', card and name as entered; OK returned to Home.</t>
  </si>
  <si>
    <t xml:space="preserve">PD-12</t>
  </si>
  <si>
    <t xml:space="preserve">CRT-026</t>
  </si>
  <si>
    <t xml:space="preserve">Verify the cart is empty after a successful order</t>
  </si>
  <si>
    <t xml:space="preserve">1. Go to {BASE_URL}.
2. Click 'Cart' in the navbar.
3. Click 'Place Order'.
4. Fill all fields with the test data and click 'Purchase'.
5. Click 'OK'.
6. Click 'Cart'.</t>
  </si>
  <si>
    <t xml:space="preserve">Name: Wong Test
Country: Malaysia
City: Kuala Lumpur
Card: 4111111111111111
Month: 10
Year: 2027</t>
  </si>
  <si>
    <t xml:space="preserve">The cart table has no rows, and the server-side cart (/viewcart) is empty.</t>
  </si>
  <si>
    <t xml:space="preserve">Cart empty on the server and in the UI after purchase. One run failed on Chromium and Firefox because the script pressed OK before the site's cart-clear call had finished: logged as PD-28 (CRT-050). The script now waits for that call, as a user reading the receipt would.</t>
  </si>
  <si>
    <t xml:space="preserve">CRT-027</t>
  </si>
  <si>
    <t xml:space="preserve">Verify the confirmation shows today's date</t>
  </si>
  <si>
    <t xml:space="preserve">1. Go to {BASE_URL}.
2. Click 'Cart' in the navbar.
3. Click 'Place Order'.
4. Fill all fields with the test data and click 'Purchase'.
5. Read the 'Date' line on the confirmation.</t>
  </si>
  <si>
    <t xml:space="preserve">Name: Wong Test
Country: Malaysia
City: Kuala Lumpur
Card: 4111111111111111
Month: 10
Year: 2027
Expected date: today (D/M/YYYY)</t>
  </si>
  <si>
    <t xml:space="preserve">'Date' equals today's date, including the correct month.</t>
  </si>
  <si>
    <t xml:space="preserve">Fails as expected (PD-02): confirmation date shows the previous month.</t>
  </si>
  <si>
    <t xml:space="preserve">PD-02</t>
  </si>
  <si>
    <t xml:space="preserve">CRT-028</t>
  </si>
  <si>
    <t xml:space="preserve">Verify a guest can place an order</t>
  </si>
  <si>
    <t xml:space="preserve">User is logged out; the journey starts on the Home page; guest cart is empty.</t>
  </si>
  <si>
    <t xml:space="preserve">1. Go to {BASE_URL}.
2. Open 'Nokia lumia 1520', click 'Add to cart' and accept the alert.
3. Click 'Cart', then 'Place Order'.
4. Fill all fields with the test data.
5. Click 'Purchase'.
6. Click 'OK'.
7. Click 'Cart'.</t>
  </si>
  <si>
    <t xml:space="preserve">Confirmation shows 'Amount: 820 USD'. Afterwards the guest cart has no rows.</t>
  </si>
  <si>
    <t xml:space="preserve">Receipt 'Amount: 820 USD'; guest cart empty afterwards.</t>
  </si>
  <si>
    <t xml:space="preserve">CRT-029</t>
  </si>
  <si>
    <t xml:space="preserve">Verify an order cannot be placed with an empty cart</t>
  </si>
  <si>
    <t xml:space="preserve">1. Go to {BASE_URL}.
2. Click 'Cart' in the navbar.
3. Click 'Place Order'.
4. Fill all fields with the test data.
5. Click 'Purchase'.</t>
  </si>
  <si>
    <t xml:space="preserve">No purchase confirmation is shown; the user is told the cart is empty.</t>
  </si>
  <si>
    <t xml:space="preserve">Fails as expected (PD-01): confirmation shown for an empty cart.</t>
  </si>
  <si>
    <t xml:space="preserve">PD-01</t>
  </si>
  <si>
    <t xml:space="preserve">CRT-030</t>
  </si>
  <si>
    <t xml:space="preserve">Verify the Amount matches the items bought when the cart changed in another tab</t>
  </si>
  <si>
    <t xml:space="preserve">1. In tab A, go to {BASE_URL}/cart.html.
2. In tab B, add 'Samsung galaxy s6' to the cart.
3. In tab A, click 'Place Order', fill Name and Credit card, click 'Purchase'.</t>
  </si>
  <si>
    <t xml:space="preserve">Product: Samsung galaxy s6 ($360)
Name: Wong Test
Card: 4111111111111111</t>
  </si>
  <si>
    <t xml:space="preserve">Confirmation shows 'Amount: 360 USD' (the item actually purchased).</t>
  </si>
  <si>
    <t xml:space="preserve">Item was purchased and removed from the cart, but confirmation showed 'Amount: 0 USD'.</t>
  </si>
  <si>
    <t xml:space="preserve">PD-20</t>
  </si>
  <si>
    <t xml:space="preserve">CRT-031</t>
  </si>
  <si>
    <t xml:space="preserve">Verify closing the Place Order form does not place an order</t>
  </si>
  <si>
    <t xml:space="preserve">1. Go to {BASE_URL}.
2. Click 'Cart' in the navbar.
3. Click 'Place Order'.
4. Type a Name.
5. Click 'Close'.</t>
  </si>
  <si>
    <t xml:space="preserve">Name: Partial</t>
  </si>
  <si>
    <t xml:space="preserve">Modal closes; no confirmation is shown; cart rows and Total are unchanged.</t>
  </si>
  <si>
    <t xml:space="preserve">Modal closed; cart unchanged (2 rows). Note: typed Name was still in the field when reopened (PD-11).</t>
  </si>
  <si>
    <t xml:space="preserve">CRT-032</t>
  </si>
  <si>
    <t xml:space="preserve">Verify 'Purchase' is blocked when all fields are empty</t>
  </si>
  <si>
    <t xml:space="preserve">1. Go to {BASE_URL}.
2. Click 'Cart' in the navbar.
3. Click 'Place Order'.
4. Leave all fields empty.
5. Click 'Purchase'.</t>
  </si>
  <si>
    <t xml:space="preserve">All fields empty</t>
  </si>
  <si>
    <t xml:space="preserve">Alert 'Please fill out Name and Creditcard.' is shown. Modal stays open; no order is placed; cart is unchanged.</t>
  </si>
  <si>
    <t xml:space="preserve">Alert shown; modal stayed open; no order; cart unchanged.</t>
  </si>
  <si>
    <t xml:space="preserve">tests/ui/checkout/order-validation.spec.ts</t>
  </si>
  <si>
    <t xml:space="preserve">CRT-033</t>
  </si>
  <si>
    <t xml:space="preserve">Verify 'Purchase' is blocked when Credit card is empty</t>
  </si>
  <si>
    <t xml:space="preserve">1. Go to {BASE_URL}.
2. Click 'Cart' in the navbar.
3. Click 'Place Order'.
4. Enter Name only.
5. Click 'Purchase'.</t>
  </si>
  <si>
    <t xml:space="preserve">Name: Wong Test
Card: (empty)</t>
  </si>
  <si>
    <t xml:space="preserve">CRT-034</t>
  </si>
  <si>
    <t xml:space="preserve">Verify 'Purchase' is blocked when Name is empty</t>
  </si>
  <si>
    <t xml:space="preserve">1. Go to {BASE_URL}.
2. Click 'Cart' in the navbar.
3. Click 'Place Order'.
4. Enter Credit card only.
5. Click 'Purchase'.</t>
  </si>
  <si>
    <t xml:space="preserve">Name: (empty)
Card: 4111111111111111</t>
  </si>
  <si>
    <t xml:space="preserve">CRT-035</t>
  </si>
  <si>
    <t xml:space="preserve">Verify Country, City, Month and Year are required</t>
  </si>
  <si>
    <t xml:space="preserve">1. Go to {BASE_URL}.
2. Click 'Cart' in the navbar.
3. Click 'Place Order'.
4. Fill Name and Credit card only.
5. Click 'Purchase'.</t>
  </si>
  <si>
    <t xml:space="preserve">Name: Wong Test
Card: 4111111111111111
Country, City, Month, Year: (empty)</t>
  </si>
  <si>
    <t xml:space="preserve">A validation message is shown for each empty field; no order is placed.</t>
  </si>
  <si>
    <t xml:space="preserve">Order placed with only Name and Card filled.</t>
  </si>
  <si>
    <t xml:space="preserve">PD-04</t>
  </si>
  <si>
    <t xml:space="preserve">Validation does not exist yet – automate once the requirement is agreed</t>
  </si>
  <si>
    <t xml:space="preserve">CRT-036</t>
  </si>
  <si>
    <t xml:space="preserve">Verify a non-numeric card number is rejected</t>
  </si>
  <si>
    <t xml:space="preserve">1. Go to {BASE_URL}.
2. Click 'Cart' in the navbar.
3. Click 'Place Order'.
4. Fill all fields, using the card value below.
5. Click 'Purchase'.</t>
  </si>
  <si>
    <t xml:space="preserve">Card: abcd-efgh!@#
(other fields as in Test Data)</t>
  </si>
  <si>
    <t xml:space="preserve">A validation message says the card number is invalid; no order is placed.</t>
  </si>
  <si>
    <t xml:space="preserve">Order placed; confirmation showed 'Card Number: abcd-efgh!@#'.</t>
  </si>
  <si>
    <t xml:space="preserve">PD-03</t>
  </si>
  <si>
    <t xml:space="preserve">CRT-037</t>
  </si>
  <si>
    <t xml:space="preserve">Verify a card number with too few digits is rejected</t>
  </si>
  <si>
    <t xml:space="preserve">Card: 123
(other fields as in Test Data)</t>
  </si>
  <si>
    <t xml:space="preserve">Order placed with card '123'.</t>
  </si>
  <si>
    <t xml:space="preserve">CRT-038</t>
  </si>
  <si>
    <t xml:space="preserve">Verify an invalid month is rejected</t>
  </si>
  <si>
    <t xml:space="preserve">1. Go to {BASE_URL}.
2. Click 'Cart' in the navbar.
3. Click 'Place Order'.
4. Fill all fields, using the month below.
5. Click 'Purchase'.</t>
  </si>
  <si>
    <t xml:space="preserve">Month: 13
(other fields as in Test Data)</t>
  </si>
  <si>
    <t xml:space="preserve">A validation message says the month is invalid; no order is placed.</t>
  </si>
  <si>
    <t xml:space="preserve">Order placed with Month 13 (run together with Year 2000).</t>
  </si>
  <si>
    <t xml:space="preserve">CRT-039</t>
  </si>
  <si>
    <t xml:space="preserve">Verify an expired card year is rejected</t>
  </si>
  <si>
    <t xml:space="preserve">1. Go to {BASE_URL}.
2. Click 'Cart' in the navbar.
3. Click 'Place Order'.
4. Fill all fields, using the year below.
5. Click 'Purchase'.</t>
  </si>
  <si>
    <t xml:space="preserve">Year: 2000
(other fields as in Test Data)</t>
  </si>
  <si>
    <t xml:space="preserve">A validation message says the card has expired; no order is placed.</t>
  </si>
  <si>
    <t xml:space="preserve">Order placed with Year 2000 (run together with Month 13).</t>
  </si>
  <si>
    <t xml:space="preserve">CRT-040</t>
  </si>
  <si>
    <t xml:space="preserve">Verify whitespace-only Name and Credit card are rejected</t>
  </si>
  <si>
    <t xml:space="preserve">1. Go to {BASE_URL}.
2. Click 'Cart' in the navbar.
3. Click 'Place Order'.
4. Enter 3 spaces in Name and 3 spaces in Credit card.
5. Click 'Purchase'.</t>
  </si>
  <si>
    <t xml:space="preserve">Name: '   ' (3 spaces)
Card: '   ' (3 spaces)</t>
  </si>
  <si>
    <t xml:space="preserve">Alert 'Please fill out Name and Creditcard.' is shown; no order is placed.</t>
  </si>
  <si>
    <t xml:space="preserve">Order placed; confirmation showed blank Name and Card Number.</t>
  </si>
  <si>
    <t xml:space="preserve">CRT-041</t>
  </si>
  <si>
    <t xml:space="preserve">Verify a 500-character Name does not break the confirmation</t>
  </si>
  <si>
    <t xml:space="preserve">1. Go to {BASE_URL}.
2. Click 'Cart' in the navbar.
3. Click 'Place Order'.
4. Enter a 500-character Name and a card number.
5. Click 'Purchase'.</t>
  </si>
  <si>
    <t xml:space="preserve">Name: 'A' x 500
Card: 4111111111111111</t>
  </si>
  <si>
    <t xml:space="preserve">The Name wraps inside the confirmation dialog with no horizontal overflow.</t>
  </si>
  <si>
    <t xml:space="preserve">Order placed; the 500-character Name overflowed the dialog horizontally.</t>
  </si>
  <si>
    <t xml:space="preserve">PD-21</t>
  </si>
  <si>
    <t xml:space="preserve">Visual layout check – manual or visual-regression tool</t>
  </si>
  <si>
    <t xml:space="preserve">CRT-042</t>
  </si>
  <si>
    <t xml:space="preserve">Verify HTML entered in Name is shown as plain text</t>
  </si>
  <si>
    <t xml:space="preserve">1. Go to {BASE_URL}.
2. Click 'Cart' in the navbar.
3. Click 'Place Order'.
4. Enter the payload below as Name and a card number.
5. Click 'Purchase'.</t>
  </si>
  <si>
    <t xml:space="preserve">Name: &lt;img src=x onerror=alert(1)&gt;&lt;b&gt;bold&lt;/b&gt;
Card: 4111111111111111</t>
  </si>
  <si>
    <t xml:space="preserve">The confirmation shows the payload as literal text; no script runs and no bold text appears.</t>
  </si>
  <si>
    <t xml:space="preserve">Payload shown as literal text; no script ran.</t>
  </si>
  <si>
    <t xml:space="preserve">XSS probing – better covered by a DAST tool</t>
  </si>
  <si>
    <t xml:space="preserve">CRT-043</t>
  </si>
  <si>
    <t xml:space="preserve">Verify double-clicking 'Purchase' creates only one order</t>
  </si>
  <si>
    <t xml:space="preserve">1. Go to {BASE_URL}.
2. Click 'Cart' in the navbar.
3. Click 'Place Order'.
4. Fill Name and Credit card.
5. Double-click 'Purchase'.</t>
  </si>
  <si>
    <t xml:space="preserve">Name: Wong Test
Card: 4111111111111111</t>
  </si>
  <si>
    <t xml:space="preserve">Exactly one confirmation (one order Id) is shown.</t>
  </si>
  <si>
    <t xml:space="preserve">Fails as expected (PD-24): double-click sent two order submissions (POST /deletecart twice).</t>
  </si>
  <si>
    <t xml:space="preserve">PD-24</t>
  </si>
  <si>
    <t xml:space="preserve">CRT-044</t>
  </si>
  <si>
    <t xml:space="preserve">Verify the card number is masked while typing</t>
  </si>
  <si>
    <t xml:space="preserve">1. Go to {BASE_URL}.
2. Click 'Cart' in the navbar.
3. Click 'Place Order'.
4. Type the card number below in Credit card.</t>
  </si>
  <si>
    <t xml:space="preserve">Card: 4111111111111111</t>
  </si>
  <si>
    <t xml:space="preserve">The Credit card field masks or formats the digits so the full number is not displayed in plain text.</t>
  </si>
  <si>
    <t xml:space="preserve">Credit card is a plain text input; full number visible while typing.</t>
  </si>
  <si>
    <t xml:space="preserve">PD-17</t>
  </si>
  <si>
    <t xml:space="preserve">Security UX, assumed requirement – manual</t>
  </si>
  <si>
    <t xml:space="preserve">CRT-045</t>
  </si>
  <si>
    <t xml:space="preserve">Verify the confirmation shows only the last 4 card digits</t>
  </si>
  <si>
    <t xml:space="preserve">1. Go to {BASE_URL}.
2. Click 'Cart' in the navbar.
3. Click 'Place Order'.
4. Fill Name and Credit card and click 'Purchase'.
5. Read the 'Card Number' line.</t>
  </si>
  <si>
    <t xml:space="preserve">'Card Number' shows only the last 4 digits (e.g. **** 1111).</t>
  </si>
  <si>
    <t xml:space="preserve">Confirmation showed the full number 'Card Number: 4111111111111111'.</t>
  </si>
  <si>
    <t xml:space="preserve">CRT-046</t>
  </si>
  <si>
    <t xml:space="preserve">Verify POST /addtocart stores the item returned by /viewcart</t>
  </si>
  <si>
    <t xml:space="preserve">Valid token for {VALID_USER} from POST /login.</t>
  </si>
  <si>
    <t xml:space="preserve">1. Send POST {API_URL}/addtocart with body {"id": &lt;new UUID&gt;, "cookie": &lt;token&gt;, "prod_id": 1, "flag": true}.
2. Send POST {API_URL}/viewcart with body {"cookie": &lt;token&gt;, "flag": true}.</t>
  </si>
  <si>
    <t xml:space="preserve">prod_id: 1 (Samsung galaxy s6)</t>
  </si>
  <si>
    <t xml:space="preserve">Both calls return HTTP 200. /viewcart 'Items' contains an entry with prod_id 1 and the UUID sent.</t>
  </si>
  <si>
    <t xml:space="preserve">Both calls HTTP 200; /viewcart lists the new item id with prod_id 1.</t>
  </si>
  <si>
    <t xml:space="preserve">tests/api/cart.api.spec.ts</t>
  </si>
  <si>
    <t xml:space="preserve">CRT-047</t>
  </si>
  <si>
    <t xml:space="preserve">Verify POST /deleteitem removes the item from the cart</t>
  </si>
  <si>
    <t xml:space="preserve">Valid token; cart has one item whose id is known from /viewcart.</t>
  </si>
  <si>
    <t xml:space="preserve">1. Send POST {API_URL}/deleteitem with body {"id": &lt;cart item id&gt;}.
2. Send POST {API_URL}/viewcart.</t>
  </si>
  <si>
    <t xml:space="preserve">The deleted id is no longer in the /viewcart 'Items'.</t>
  </si>
  <si>
    <t xml:space="preserve">HTTP 200; deleted id no longer returned by /viewcart.</t>
  </si>
  <si>
    <t xml:space="preserve">CRT-048</t>
  </si>
  <si>
    <t xml:space="preserve">Verify POST /view returns 404 for an unknown product</t>
  </si>
  <si>
    <t xml:space="preserve">1. Send POST {API_URL}/view with body {"id": "9999"}.
2. Check the HTTP status code.</t>
  </si>
  <si>
    <t xml:space="preserve">id: 9999</t>
  </si>
  <si>
    <t xml:space="preserve">HTTP 404 Not Found.</t>
  </si>
  <si>
    <t xml:space="preserve">Fails as expected (PD-19): HTTP 200 + 'Not found.' instead of 404.</t>
  </si>
  <si>
    <t xml:space="preserve">tests/api/product.api.spec.ts</t>
  </si>
  <si>
    <t xml:space="preserve">CRT-049</t>
  </si>
  <si>
    <t xml:space="preserve">Verify a guest who opens a product page directly gets a private cart</t>
  </si>
  <si>
    <t xml:space="preserve">User is logged out; browser has no DemoBlaze cookies (new session).</t>
  </si>
  <si>
    <t xml:space="preserve">1. Go to {BASE_URL}/prod.html?idp_=2 directly (do not open Home first).
2. Click 'Add to cart' and accept the alert.
3. Click 'Cart'.</t>
  </si>
  <si>
    <t xml:space="preserve">The cart contains only the one 'Nokia lumia 1520' just added (the guest has a private cart keyed by a unique guest id).</t>
  </si>
  <si>
    <t xml:space="preserve">Fails as expected (PD-22): /addtocart sent with an empty guest id; the shared cart held 121-134 items from other guests.</t>
  </si>
  <si>
    <t xml:space="preserve">PD-22</t>
  </si>
  <si>
    <t xml:space="preserve">CRT-050</t>
  </si>
  <si>
    <t xml:space="preserve">Verify the cart is emptied when the order is confirmed straight away</t>
  </si>
  <si>
    <t xml:space="preserve">Logged in as {VALID_USER}; cart has 1 item. Slow connection (DevTools &gt; Network &gt; 'Slow 3G'), so the cart-clear request takes a few seconds.</t>
  </si>
  <si>
    <t xml:space="preserve">1. Go to {BASE_URL}.
2. Click 'Cart' in the navbar.
3. Click 'Place Order'.
4. Fill all fields with the test data and click 'Purchase'.
5. Click 'OK' as soon as the confirmation appears.
6. Turn throttling off and click 'Cart'.</t>
  </si>
  <si>
    <t xml:space="preserve">The cart is empty, however quickly 'OK' is clicked.</t>
  </si>
  <si>
    <t xml:space="preserve">Fails as expected (PD-28). First seen in the 20-Oct full run (CRT-026, Chromium and Firefox): OK was pressed about 1 s after Purchase, the move to Home cancelled POST /deletecart (no response), and the server cart still held the item 20 s later. The test reproduces it on demand by slowing that one request down.</t>
  </si>
  <si>
    <t xml:space="preserve">Automated: Chromium</t>
  </si>
  <si>
    <t xml:space="preserve">PD-28</t>
  </si>
  <si>
    <t xml:space="preserve">ID</t>
  </si>
  <si>
    <t xml:space="preserve">Title</t>
  </si>
  <si>
    <t xml:space="preserve">Severity</t>
  </si>
  <si>
    <t xml:space="preserve">Related TC</t>
  </si>
  <si>
    <t xml:space="preserve">Steps to Reproduce</t>
  </si>
  <si>
    <t xml:space="preserve">Expected (assumed requirement)</t>
  </si>
  <si>
    <t xml:space="preserve">Actual (observed)</t>
  </si>
  <si>
    <t xml:space="preserve">Reproduced?</t>
  </si>
  <si>
    <t xml:space="preserve">Automated evidence (latest run)</t>
  </si>
  <si>
    <t xml:space="preserve">Order can be placed with an empty cart</t>
  </si>
  <si>
    <t xml:space="preserve">Major</t>
  </si>
  <si>
    <t xml:space="preserve">1. Make sure the cart is empty.
2. Open Cart and click 'Place Order'.
3. Enter Name and Credit card.
4. Click 'Purchase'.</t>
  </si>
  <si>
    <t xml:space="preserve">Purchase blocked; error that cart is empty.</t>
  </si>
  <si>
    <t xml:space="preserve">Purchase confirmation shown with 'Amount: 0 USD'. Reproduced 19-Oct-2026: 'Amount: 0 USD'.</t>
  </si>
  <si>
    <t xml:space="preserve">reports/evidence/PD-01_CRT-029_&lt;browser&gt;.png + .webm
(&lt;browser&gt; = chromium, firefox, webkit)</t>
  </si>
  <si>
    <t xml:space="preserve">Wrong month on purchase confirmation date</t>
  </si>
  <si>
    <t xml:space="preserve">1. Add any product to the cart.
2. Open Cart and click 'Place Order'.
3. Enter Name and Credit card.
4. Click 'Purchase'.
5. Compare the 'Date' with today's date.</t>
  </si>
  <si>
    <t xml:space="preserve">Today's date, e.g. 19/10/2026.</t>
  </si>
  <si>
    <t xml:space="preserve">Month is one behind, e.g. 19/9/2026 (month is 0-based in the code). Reproduced 19-Oct-2026: purchase on 19 Oct showed 'Date: 19/9/2026'.</t>
  </si>
  <si>
    <t xml:space="preserve">reports/evidence/PD-02_CRT-027_&lt;browser&gt;.png + .webm
(&lt;browser&gt; = chromium, firefox, webkit)</t>
  </si>
  <si>
    <t xml:space="preserve">No credit card number validation</t>
  </si>
  <si>
    <t xml:space="preserve">CRT-036, CRT-037</t>
  </si>
  <si>
    <t xml:space="preserve">1. Add a product to the cart.
2. Click 'Place Order'.
3. Enter Name and card 'abcd-efgh!@#' (or '123').
4. Click 'Purchase'.</t>
  </si>
  <si>
    <t xml:space="preserve">Invalid card rejected.</t>
  </si>
  <si>
    <t xml:space="preserve">Any non-empty value is accepted. Reproduced: 'abcd-efgh!@#' and '123' both accepted.</t>
  </si>
  <si>
    <t xml:space="preserve">Manual run – see Actual (observed)</t>
  </si>
  <si>
    <t xml:space="preserve">Country, City, Month, Year are not validated or required</t>
  </si>
  <si>
    <t xml:space="preserve">Medium</t>
  </si>
  <si>
    <t xml:space="preserve">CRT-035, CRT-038, CRT-039</t>
  </si>
  <si>
    <t xml:space="preserve">1. Add a product to the cart.
2. Click 'Place Order'.
3. Enter only Name and Credit card (or Month 13 / Year 2000).
4. Click 'Purchase'.</t>
  </si>
  <si>
    <t xml:space="preserve">Missing or invalid billing fields rejected.</t>
  </si>
  <si>
    <t xml:space="preserve">Order succeeds; only Name and Card are checked. Reproduced: Name + Card only, and Month 13 / Year 2000, both accepted.</t>
  </si>
  <si>
    <t xml:space="preserve">Whitespace-only input bypasses required-field checks</t>
  </si>
  <si>
    <t xml:space="preserve">Minor</t>
  </si>
  <si>
    <t xml:space="preserve">LGN-011, CRT-040</t>
  </si>
  <si>
    <t xml:space="preserve">1. Add a product to the cart.
2. Click 'Place Order'.
3. Enter spaces only in Name and Credit card.
4. Click 'Purchase'.</t>
  </si>
  <si>
    <t xml:space="preserve">Treated as empty and rejected client-side.</t>
  </si>
  <si>
    <t xml:space="preserve">Input is not trimmed, so the check passes (login request is sent; purchase succeeds). Reproduced on Place Order (spaces-only Name/Card accepted). Login side still to check. Login side (LGN-011) reproduced by the automated run on 20-Oct-2026.</t>
  </si>
  <si>
    <t xml:space="preserve">reports/evidence/PD-05_LGN-011_&lt;browser&gt;.png + .webm
(&lt;browser&gt; = chromium, firefox, webkit)</t>
  </si>
  <si>
    <t xml:space="preserve">Inconsistent 'Product added' alert text</t>
  </si>
  <si>
    <t xml:space="preserve">Trivial</t>
  </si>
  <si>
    <t xml:space="preserve">CRT-006, CRT-007</t>
  </si>
  <si>
    <t xml:space="preserve">1. As a guest, add a product to the cart and note the alert text.
2. Log in.
3. Add a product again and note the alert text.</t>
  </si>
  <si>
    <t xml:space="preserve">Same message in both cases.</t>
  </si>
  <si>
    <t xml:space="preserve">Guest sees 'Product added' (no full stop); logged-in user sees 'Product added.' Logged-in message 'Product added.' observed on 19-Oct-2026; guest message still to check.</t>
  </si>
  <si>
    <t xml:space="preserve">To reproduce</t>
  </si>
  <si>
    <t xml:space="preserve">Password sent in reversible (Base64) form</t>
  </si>
  <si>
    <t xml:space="preserve">Medium (Security)</t>
  </si>
  <si>
    <t xml:space="preserve">1. Open DevTools &gt; Network.
2. Log in.
3. Open the POST /login request and view the request body.</t>
  </si>
  <si>
    <t xml:space="preserve">Password protected by HTTPS only and never stored/sent in a reversible encoding.</t>
  </si>
  <si>
    <t xml:space="preserve">Password is only Base64-encoded in the JSON body; anyone who sees the body can decode it. Reproduced 20-Oct-2026 by the automated run (Chromium, Firefox, WebKit).</t>
  </si>
  <si>
    <t xml:space="preserve">reports/evidence/PD-07_LGN-029_&lt;browser&gt;.png + .webm
(&lt;browser&gt; = chromium, firefox, webkit)</t>
  </si>
  <si>
    <t xml:space="preserve">Auth cookie lacks Secure/HttpOnly flags</t>
  </si>
  <si>
    <t xml:space="preserve">Low (Security)</t>
  </si>
  <si>
    <t xml:space="preserve">1. Log in.
2. Open DevTools &gt; Application &gt; Cookies.
3. Check the flags on 'tokenp_' (or read it with document.cookie in the Console).</t>
  </si>
  <si>
    <t xml:space="preserve">Session cookie set server-side with Secure and HttpOnly.</t>
  </si>
  <si>
    <t xml:space="preserve">Cookie is set by JavaScript (document.cookie), so it cannot be HttpOnly and is readable by scripts. Reproduced 19-Oct-2026: tokenp_ is readable from document.cookie, so it is not HttpOnly.</t>
  </si>
  <si>
    <t xml:space="preserve">reports/evidence/PD-08_LGN-027_&lt;browser&gt;.png + .webm
(&lt;browser&gt; = chromium, firefox, webkit)</t>
  </si>
  <si>
    <t xml:space="preserve">Guest cart items are not carried over after login</t>
  </si>
  <si>
    <t xml:space="preserve">1. As a guest, add a product to the cart.
2. Log in.
3. Open Cart.</t>
  </si>
  <si>
    <t xml:space="preserve">Guest items merged into user cart.</t>
  </si>
  <si>
    <t xml:space="preserve">Guest and user carts are separate; guest items are not shown. Reproduced 20-Oct-2026 by the automated run (Chromium, Firefox, WebKit).</t>
  </si>
  <si>
    <t xml:space="preserve">reports/evidence/PD-09_CRT-023_&lt;browser&gt;.png + .webm
(&lt;browser&gt; = chromium, firefox, webkit)</t>
  </si>
  <si>
    <t xml:space="preserve">Enter key does not submit the Login form</t>
  </si>
  <si>
    <t xml:space="preserve">Minor (Usability)</t>
  </si>
  <si>
    <t xml:space="preserve">1. Click 'Log in'.
2. Enter valid credentials.
3. Press Enter in the Password field.</t>
  </si>
  <si>
    <t xml:space="preserve">Login submitted.</t>
  </si>
  <si>
    <t xml:space="preserve">Expected: nothing happens (form has no submit button). Confirm by execution. Reproduced 20-Oct-2026 by the automated run (Chromium, Firefox, WebKit).</t>
  </si>
  <si>
    <t xml:space="preserve">reports/evidence/PD-10_LGN-020_&lt;browser&gt;.png + .webm
(&lt;browser&gt; = chromium, firefox, webkit)</t>
  </si>
  <si>
    <t xml:space="preserve">Modal fields keep previous values after closing</t>
  </si>
  <si>
    <t xml:space="preserve">LGN-021, CRT-031</t>
  </si>
  <si>
    <t xml:space="preserve">1. Open the Login (or Place Order) modal.
2. Type a value.
3. Click 'Close'.
4. Reopen the modal.</t>
  </si>
  <si>
    <t xml:space="preserve">Fields cleared.</t>
  </si>
  <si>
    <t xml:space="preserve">Expected: previous values remain. Confirm by execution. Reproduced on Place Order modal (Name kept after Close). Login modal (LGN-021) reproduced by the automated run on 20-Oct-2026.</t>
  </si>
  <si>
    <t xml:space="preserve">reports/evidence/PD-11_LGN-021_&lt;browser&gt;.png + .webm
(&lt;browser&gt; = chromium, firefox, webkit)</t>
  </si>
  <si>
    <t xml:space="preserve">Order ID generated client-side and not persisted</t>
  </si>
  <si>
    <t xml:space="preserve">Low (Observation)</t>
  </si>
  <si>
    <t xml:space="preserve">1. Complete two purchases.
2. Compare the order IDs.
3. Look for any order history page.</t>
  </si>
  <si>
    <t xml:space="preserve">Order ID issued by server and retrievable (order history).</t>
  </si>
  <si>
    <t xml:space="preserve">ID is a random number generated in the browser; there is no order history. Reproduced: order Ids differ per order (e.g. 7102746, 7999627); no order history page exists.</t>
  </si>
  <si>
    <t xml:space="preserve">No empty-cart message</t>
  </si>
  <si>
    <t xml:space="preserve">Trivial (UX)</t>
  </si>
  <si>
    <t xml:space="preserve">1. Delete all items from the cart (or log in with an empty cart).
2. Open Cart.</t>
  </si>
  <si>
    <t xml:space="preserve">Clear 'Your cart is empty' message and Total 0.</t>
  </si>
  <si>
    <t xml:space="preserve">Empty table with blank Total. Reproduced 19-Oct-2026: empty cart showed no rows, no message and a blank Total.</t>
  </si>
  <si>
    <t xml:space="preserve">'Product added.' shown even when the item is not saved (intermittent)</t>
  </si>
  <si>
    <t xml:space="preserve">1. Log in with an empty cart.
2. Add Samsung galaxy s6 twice and Nokia lumia 1520 once.
3. Open Cart.</t>
  </si>
  <si>
    <t xml:space="preserve">All 3 items in the cart.</t>
  </si>
  <si>
    <t xml:space="preserve">Only Nokia lumia 1520 was saved. The UI shows the success alert for any HTTP 200 without checking the response. Not reproduced on later tries.</t>
  </si>
  <si>
    <t xml:space="preserve">Intermittent</t>
  </si>
  <si>
    <t xml:space="preserve">Non-existent product page renders 'undefined' and allows Add to cart</t>
  </si>
  <si>
    <t xml:space="preserve">1. Open https://www.demoblaze.com/prod.html?idp_=9999.
2. Click 'Add to cart'.</t>
  </si>
  <si>
    <t xml:space="preserve">'Product not found' page; no Add to cart.</t>
  </si>
  <si>
    <t xml:space="preserve">Shows 'undefined $undefined'. Add to cart sends no prod_id and shows the misleading alert 'Bad parameter, token malformed.'</t>
  </si>
  <si>
    <t xml:space="preserve">Product page without ID crashes with a JavaScript error</t>
  </si>
  <si>
    <t xml:space="preserve">1. Open https://www.demoblaze.com/prod.html (no product ID).
2. Open DevTools &gt; Console.</t>
  </si>
  <si>
    <t xml:space="preserve">Redirect or friendly error.</t>
  </si>
  <si>
    <t xml:space="preserve">Blank product area; console: Uncaught TypeError: Cannot read properties of undefined (reading 'split') at prod.js:39.</t>
  </si>
  <si>
    <t xml:space="preserve">Full credit card number shown in plain text</t>
  </si>
  <si>
    <t xml:space="preserve">CRT-044, CRT-045</t>
  </si>
  <si>
    <t xml:space="preserve">1. Add a product to the cart.
2. Click 'Place Order' and type a card number.
3. Click 'Purchase' and read the confirmation.</t>
  </si>
  <si>
    <t xml:space="preserve">Card masked in the form; only last 4 digits on confirmation.</t>
  </si>
  <si>
    <t xml:space="preserve">Card input is a plain text field with no masking. The code puts the full card number in the confirmation text. Reproduced 19-Oct-2026 on the confirmation dialog.</t>
  </si>
  <si>
    <t xml:space="preserve">Auth token is predictable (Base64 of username + number)</t>
  </si>
  <si>
    <t xml:space="preserve">Critical (Security)</t>
  </si>
  <si>
    <t xml:space="preserve">1. Log in.
2. Copy the 'tokenp_' cookie value.
3. Base64-decode it (e.g. atob() in the Console).</t>
  </si>
  <si>
    <t xml:space="preserve">Random, opaque, signed session token.</t>
  </si>
  <si>
    <t xml:space="preserve">'cWFfc3lfMDExNzkzMDEx' decodes to 'qa_sy_011793011' (username + number). A token for another user could potentially be built without their password (not attempted).</t>
  </si>
  <si>
    <t xml:space="preserve">reports/evidence/PD-18_LGN-026_&lt;browser&gt;.txt (API log)
(&lt;browser&gt; = chromium, firefox, webkit)</t>
  </si>
  <si>
    <t xml:space="preserve">API returns HTTP 200 for error responses</t>
  </si>
  <si>
    <t xml:space="preserve">Low (API)</t>
  </si>
  <si>
    <t xml:space="preserve">LGN-034, CRT-048</t>
  </si>
  <si>
    <t xml:space="preserve">1. Send POST https://api.demoblaze.com/view with {"id": "9999"}.
2. Send POST /check with {"token": "garbage"}.
3. Check the HTTP status codes.</t>
  </si>
  <si>
    <t xml:space="preserve">404 / 401 status codes.</t>
  </si>
  <si>
    <t xml:space="preserve">HTTP 200 with {"errorMessage": ...} in the body.</t>
  </si>
  <si>
    <t xml:space="preserve">reports/evidence/PD-19_LGN-034_api.txt (API log)
reports/evidence/PD-19_CRT-048_api.txt (API log)</t>
  </si>
  <si>
    <t xml:space="preserve">Order amount uses a stale client-side total</t>
  </si>
  <si>
    <t xml:space="preserve">1. Open Cart in tab A while the cart is empty.
2. In tab B, add a product to the cart.
3. In tab A, click 'Place Order', enter Name and Card, click 'Purchase'.</t>
  </si>
  <si>
    <t xml:space="preserve">Amount equals the items actually purchased (360 USD).</t>
  </si>
  <si>
    <t xml:space="preserve">Confirmation shows 'Amount: 0 USD' while the item is removed from the cart. The amount is computed once when the cart page loads.</t>
  </si>
  <si>
    <t xml:space="preserve">No length limit on Name; long values break the confirmation layout</t>
  </si>
  <si>
    <t xml:space="preserve">1. Add a product to the cart.
2. Click 'Place Order'.
3. Enter a 500-character Name and a card.
4. Click 'Purchase'.</t>
  </si>
  <si>
    <t xml:space="preserve">Length limited, or text wraps inside the dialog.</t>
  </si>
  <si>
    <t xml:space="preserve">Order accepted; the Name overflows the confirmation dialog horizontally.</t>
  </si>
  <si>
    <t xml:space="preserve">Guests who open a product page directly share one cart</t>
  </si>
  <si>
    <t xml:space="preserve">1. Open a new private browser window.
2. Go to https://www.demoblaze.com/prod.html?idp_=2 directly.
3. Click 'Add to cart'.
4. Click 'Cart'.
5. Check DevTools &gt; Network &gt; POST /addtocart: 'cookie' is empty.</t>
  </si>
  <si>
    <t xml:space="preserve">Each guest has a private cart keyed by a unique guest id, whichever page they land on.</t>
  </si>
  <si>
    <t xml:space="preserve">Only the Home page creates the guest id cookie ('user'). A guest who lands on a product page first (search result, shared link) sends an empty id, so all such guests read and write the same cart: our test saw 121-134 items from other people. Privacy issue: one guest can see, and buy, another guest's items. Reproduced 20-Oct-2026 by the automated run on Chromium, Firefox and WebKit.</t>
  </si>
  <si>
    <t xml:space="preserve">reports/evidence/PD-22_CRT-049_&lt;browser&gt;.png + .webm
(&lt;browser&gt; = chromium, firefox, webkit)</t>
  </si>
  <si>
    <t xml:space="preserve">Double-clicking 'Log in' sends two login requests</t>
  </si>
  <si>
    <t xml:space="preserve">1. Open Log in and enter valid credentials.
2. Open DevTools &gt; Network.
3. Double-click 'Log in'.
4. Count POST /login requests.</t>
  </si>
  <si>
    <t xml:space="preserve">One login request per submit (button disabled while the request is in flight).</t>
  </si>
  <si>
    <t xml:space="preserve">A double-click calls logIn() twice and sends two POST /login requests. Reproduced 20-Oct-2026 by the automated run (Chromium, Firefox, WebKit).</t>
  </si>
  <si>
    <t xml:space="preserve">reports/evidence/PD-23_LGN-019_&lt;browser&gt;.png + .webm
(&lt;browser&gt; = chromium, firefox, webkit)</t>
  </si>
  <si>
    <t xml:space="preserve">Double-clicking 'Purchase' submits the order twice</t>
  </si>
  <si>
    <t xml:space="preserve">1. Add an item to the cart and open Place Order.
2. Fill Name and Credit card.
3. Open DevTools &gt; Network.
4. Double-click 'Purchase'.
5. Count POST /deletecart requests.</t>
  </si>
  <si>
    <t xml:space="preserve">One order per submit (Purchase disabled after the first click).</t>
  </si>
  <si>
    <t xml:space="preserve">A double-click runs purchaseOrder() twice: two order submissions (POST /deletecart twice) and the confirmation is regenerated. Reproduced 20-Oct-2026 by the automated run (Chromium, Firefox, WebKit).</t>
  </si>
  <si>
    <t xml:space="preserve">reports/evidence/PD-24_CRT-043_&lt;browser&gt;.png + .webm
(&lt;browser&gt; = chromium, firefox, webkit)</t>
  </si>
  <si>
    <t xml:space="preserve">No lockout or rate limit after repeated failed logins</t>
  </si>
  <si>
    <t xml:space="preserve">High (Security)</t>
  </si>
  <si>
    <t xml:space="preserve">1. Use a test account.
2. Enter a wrong password and click 'Log in' 10 times in a row.
3. Check the message on the last attempts.</t>
  </si>
  <si>
    <t xml:space="preserve">After a small number of failed attempts, further attempts are blocked or delayed (lockout, CAPTCHA or rate limit).</t>
  </si>
  <si>
    <t xml:space="preserve">10 consecutive wrong passwords all returned 'Wrong password.'; nothing slows down or blocks guessing, so passwords can be brute-forced. Reproduced 20-Oct-2026 by the automated run (Chromium, Firefox, WebKit).</t>
  </si>
  <si>
    <t xml:space="preserve">reports/evidence/PD-25_LGN-018_&lt;browser&gt;.png + .webm
(&lt;browser&gt; = chromium, firefox, webkit)</t>
  </si>
  <si>
    <t xml:space="preserve">Login does not trim spaces around the username</t>
  </si>
  <si>
    <t xml:space="preserve">1. Open Log in.
2. Enter a valid username with a space before and after it, and the correct password.
3. Click 'Log in'.</t>
  </si>
  <si>
    <t xml:space="preserve">Leading/trailing spaces are ignored, as most sites do.</t>
  </si>
  <si>
    <t xml:space="preserve">' &lt;username&gt; ' with surrounding spaces returns 'User does not exist.' Reproduced 20-Oct-2026 by the automated run (Chromium, Firefox, WebKit).</t>
  </si>
  <si>
    <t xml:space="preserve">reports/evidence/PD-26_LGN-012_&lt;browser&gt;.png + .webm
(&lt;browser&gt; = chromium, firefox, webkit)</t>
  </si>
  <si>
    <t xml:space="preserve">Login treats the username as case-sensitive</t>
  </si>
  <si>
    <t xml:space="preserve">1. Open Log in.
2. Enter a valid username in UPPER CASE and the correct password.
3. Click 'Log in'.</t>
  </si>
  <si>
    <t xml:space="preserve">Username matching is case-insensitive (to confirm with the product owner).</t>
  </si>
  <si>
    <t xml:space="preserve">The username in upper case returns 'User does not exist.' Reproduced 20-Oct-2026 by the automated run (Chromium, Firefox, WebKit).</t>
  </si>
  <si>
    <t xml:space="preserve">reports/evidence/PD-27_LGN-013_&lt;browser&gt;.png + .webm
(&lt;browser&gt; = chromium, firefox, webkit)</t>
  </si>
  <si>
    <t xml:space="preserve">Pressing OK on the order confirmation too soon leaves the bought items in the cart</t>
  </si>
  <si>
    <t xml:space="preserve">High</t>
  </si>
  <si>
    <t xml:space="preserve">1. Log in and add an item to the cart.
2. Open DevTools &gt; Network and set throttling to 'Slow 3G'.
3. Place Order, fill Name and Credit card, click 'Purchase'.
4. Click 'OK' as soon as the confirmation appears.
5. Turn throttling off and open Cart: the item is still there.</t>
  </si>
  <si>
    <t xml:space="preserve">The cart is emptied as part of placing the order, whatever the user does next.</t>
  </si>
  <si>
    <t xml:space="preserve">purchaseOrder() sends POST /deletecart without waiting for it, and OK goes to Home straight away. If OK is pressed before that request finishes, the browser cancels it and the server cart keeps the purchased items (automated run: the item was still there 20 s later). The customer can then pay for the same items again. Found by the automated run on 20-Oct-2026 (Chromium, Firefox).</t>
  </si>
  <si>
    <t xml:space="preserve">reports/evidence/PD-28_CRT-050_chromium.png + .webm</t>
  </si>
  <si>
    <t xml:space="preserve">Note: DemoBlaze has no published requirements. 'Expected' follows common e-commerce practice, so 'Potential defect – requirement to confirm' items should be agreed with the product owner before being raised as bugs. 'Reproduced?' = observed when the related test was run on 19-Oct-2026.</t>
  </si>
  <si>
    <t xml:space="preserve">Placeholders used in the test cases</t>
  </si>
  <si>
    <t xml:space="preserve">Placeholder</t>
  </si>
  <si>
    <t xml:space="preserve">Value</t>
  </si>
  <si>
    <t xml:space="preserve">Note</t>
  </si>
  <si>
    <t xml:space="preserve">{BASE_URL}</t>
  </si>
  <si>
    <t xml:space="preserve">https://www.demoblaze.com</t>
  </si>
  <si>
    <t xml:space="preserve">{API_URL}</t>
  </si>
  <si>
    <t xml:space="preserve">https://api.demoblaze.com</t>
  </si>
  <si>
    <t xml:space="preserve">{VALID_USER}</t>
  </si>
  <si>
    <t xml:space="preserve">qa_sy_01</t>
  </si>
  <si>
    <t xml:space="preserve">Primary test account</t>
  </si>
  <si>
    <t xml:space="preserve">{VALID_PASSWORD}</t>
  </si>
  <si>
    <t xml:space="preserve">(stored in .env as VALID_PASSWORD)</t>
  </si>
  <si>
    <t xml:space="preserve">Never stored in this sheet</t>
  </si>
  <si>
    <t xml:space="preserve">{USER_B}</t>
  </si>
  <si>
    <t xml:space="preserve">qa_sy_02</t>
  </si>
  <si>
    <t xml:space="preserve">Second account for cart-isolation test (CRT-022) – create before running</t>
  </si>
  <si>
    <t xml:space="preserve">{USER_B_PASSWORD}</t>
  </si>
  <si>
    <t xml:space="preserve">(stored in .env as USER_B_PASSWORD)</t>
  </si>
  <si>
    <t xml:space="preserve">Checkout data</t>
  </si>
  <si>
    <t xml:space="preserve">Field</t>
  </si>
  <si>
    <t xml:space="preserve">Valid value</t>
  </si>
  <si>
    <t xml:space="preserve">Invalid values used</t>
  </si>
  <si>
    <t xml:space="preserve">Name</t>
  </si>
  <si>
    <t xml:space="preserve">Wong Test</t>
  </si>
  <si>
    <t xml:space="preserve">'   ' (spaces) | 'A' x 500 | &lt;img src=x onerror=alert(1)&gt;&lt;b&gt;bold&lt;/b&gt;</t>
  </si>
  <si>
    <t xml:space="preserve">Country</t>
  </si>
  <si>
    <t xml:space="preserve">Malaysia</t>
  </si>
  <si>
    <t xml:space="preserve">(empty)</t>
  </si>
  <si>
    <t xml:space="preserve">City</t>
  </si>
  <si>
    <t xml:space="preserve">Kuala Lumpur</t>
  </si>
  <si>
    <t xml:space="preserve">Credit card</t>
  </si>
  <si>
    <t xml:space="preserve">4111111111111111 (Visa test number)</t>
  </si>
  <si>
    <t xml:space="preserve">abcd-efgh!@# | 123 | '   '</t>
  </si>
  <si>
    <t xml:space="preserve">Month</t>
  </si>
  <si>
    <t xml:space="preserve">10</t>
  </si>
  <si>
    <t xml:space="preserve">13</t>
  </si>
  <si>
    <t xml:space="preserve">Year</t>
  </si>
  <si>
    <t xml:space="preserve">2027</t>
  </si>
  <si>
    <t xml:space="preserve">2000</t>
  </si>
  <si>
    <t xml:space="preserve">Products (home page)</t>
  </si>
  <si>
    <t xml:space="preserve">Product</t>
  </si>
  <si>
    <t xml:space="preserve">Price (USD)</t>
  </si>
  <si>
    <t xml:space="preserve">Samsung galaxy s6</t>
  </si>
  <si>
    <t xml:space="preserve">Phones</t>
  </si>
  <si>
    <t xml:space="preserve">Nokia lumia 1520</t>
  </si>
  <si>
    <t xml:space="preserve">Nexus 6</t>
  </si>
  <si>
    <t xml:space="preserve">Samsung galaxy s7</t>
  </si>
  <si>
    <t xml:space="preserve">Iphone 6 32gb</t>
  </si>
  <si>
    <t xml:space="preserve">Sony xperia z5</t>
  </si>
  <si>
    <t xml:space="preserve">HTC One M9</t>
  </si>
  <si>
    <t xml:space="preserve">Sony vaio i5</t>
  </si>
  <si>
    <t xml:space="preserve">Laptops</t>
  </si>
  <si>
    <t xml:space="preserve">Sony vaio i7</t>
  </si>
  <si>
    <t xml:space="preserve">Source: www.demoblaze.com home page, 19-Oct-2026</t>
  </si>
  <si>
    <t xml:space="preserve">Expected totals</t>
  </si>
  <si>
    <t xml:space="preserve">Combination</t>
  </si>
  <si>
    <t xml:space="preserve">Expected Total</t>
  </si>
  <si>
    <t xml:space="preserve">Used in</t>
  </si>
  <si>
    <t xml:space="preserve">Samsung galaxy s6 + Nokia lumia 1520</t>
  </si>
  <si>
    <t xml:space="preserve">CRT-002, CRT-008, CRT-024, CRT-025</t>
  </si>
  <si>
    <t xml:space="preserve">Samsung galaxy s6 x 2</t>
  </si>
  <si>
    <t xml:space="preserve">Samsung galaxy s6 x 2 + Nokia lumia 1520</t>
  </si>
  <si>
    <t xml:space="preserve">Nexus 6 x 3</t>
  </si>
  <si>
    <t xml:space="preserve">All 9 products + 1 extra Samsung galaxy s6 (10 items)</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</si>
</sst>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sz val="10"/>
      <name val="Noto Sans CJK SC"/>
      <family val="2"/>
    </font>
    <font>
      <i val="true"/>
      <sz val="9"/>
      <color rgb="FF595959"/>
      <name val="Arial"/>
      <family val="0"/>
      <charset val="1"/>
    </font>
    <font>
      <sz val="10"/>
      <color rgb="FF0000FF"/>
      <name val="Arial"/>
      <family val="0"/>
      <charset val="1"/>
    </font>
    <font>
      <i val="true"/>
      <sz val="9"/>
      <color rgb="FF80808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5FA"/>
        <bgColor rgb="FFFFFFFF"/>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C7CE"/>
          <bgColor rgb="FF000000"/>
        </patternFill>
      </fill>
    </dxf>
    <dxf>
      <fill>
        <patternFill>
          <bgColor rgb="FFC6EFCE"/>
        </patternFill>
      </fill>
    </dxf>
    <dxf>
      <fill>
        <patternFill>
          <bgColor rgb="FFFFC7CE"/>
        </patternFill>
      </fill>
    </dxf>
    <dxf>
      <fill>
        <patternFill>
          <bgColor rgb="FFFFEB9C"/>
        </patternFill>
      </fill>
    </dxf>
    <dxf>
      <font>
        <name val="Arial"/>
        <charset val="1"/>
        <family val="0"/>
        <b val="1"/>
        <color rgb="FFC00000"/>
      </font>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4"/>
  </cols>
  <sheetData>
    <row r="1" customFormat="false" ht="19.7" hidden="false" customHeight="false" outlineLevel="0" collapsed="false">
      <c r="A1" s="1" t="s">
        <v>0</v>
      </c>
    </row>
    <row r="3" customFormat="false" ht="18" hidden="false" customHeight="true" outlineLevel="0" collapsed="false">
      <c r="A3" s="2" t="s">
        <v>1</v>
      </c>
      <c r="B3" s="3" t="s">
        <v>2</v>
      </c>
      <c r="C3" s="3"/>
      <c r="D3" s="3"/>
      <c r="E3" s="3"/>
      <c r="F3" s="3"/>
      <c r="G3" s="3"/>
      <c r="H3" s="3"/>
    </row>
    <row r="4" customFormat="false" ht="33" hidden="false" customHeight="true" outlineLevel="0" collapsed="false">
      <c r="A4" s="2" t="s">
        <v>3</v>
      </c>
      <c r="B4" s="3" t="s">
        <v>4</v>
      </c>
      <c r="C4" s="3"/>
      <c r="D4" s="3"/>
      <c r="E4" s="3"/>
      <c r="F4" s="3"/>
      <c r="G4" s="3"/>
      <c r="H4" s="3"/>
    </row>
    <row r="5" customFormat="false" ht="18" hidden="false" customHeight="true" outlineLevel="0" collapsed="false">
      <c r="A5" s="2" t="s">
        <v>5</v>
      </c>
      <c r="B5" s="3" t="s">
        <v>6</v>
      </c>
      <c r="C5" s="3"/>
      <c r="D5" s="3"/>
      <c r="E5" s="3"/>
      <c r="F5" s="3"/>
      <c r="G5" s="3"/>
      <c r="H5" s="3"/>
    </row>
    <row r="6" customFormat="false" ht="18" hidden="false" customHeight="true" outlineLevel="0" collapsed="false">
      <c r="A6" s="2" t="s">
        <v>7</v>
      </c>
      <c r="B6" s="3" t="s">
        <v>8</v>
      </c>
      <c r="C6" s="3"/>
      <c r="D6" s="3"/>
      <c r="E6" s="3"/>
      <c r="F6" s="3"/>
      <c r="G6" s="3"/>
      <c r="H6" s="3"/>
    </row>
    <row r="7" customFormat="false" ht="33" hidden="false" customHeight="true" outlineLevel="0" collapsed="false">
      <c r="A7" s="2" t="s">
        <v>9</v>
      </c>
      <c r="B7" s="3" t="s">
        <v>10</v>
      </c>
      <c r="C7" s="3"/>
      <c r="D7" s="3"/>
      <c r="E7" s="3"/>
      <c r="F7" s="3"/>
      <c r="G7" s="3"/>
      <c r="H7" s="3"/>
    </row>
    <row r="9" customFormat="false" ht="15" hidden="false" customHeight="false" outlineLevel="0" collapsed="false">
      <c r="A9" s="4" t="s">
        <v>11</v>
      </c>
    </row>
    <row r="10" customFormat="false" ht="15" hidden="false" customHeight="false" outlineLevel="0" collapsed="false">
      <c r="A10" s="5" t="s">
        <v>12</v>
      </c>
      <c r="B10" s="5" t="s">
        <v>13</v>
      </c>
      <c r="C10" s="5" t="s">
        <v>14</v>
      </c>
      <c r="D10" s="5" t="s">
        <v>15</v>
      </c>
      <c r="E10" s="5" t="s">
        <v>16</v>
      </c>
      <c r="F10" s="5" t="s">
        <v>17</v>
      </c>
      <c r="G10" s="5" t="s">
        <v>18</v>
      </c>
      <c r="H10" s="5" t="s">
        <v>19</v>
      </c>
    </row>
    <row r="11" customFormat="false" ht="15" hidden="false" customHeight="false" outlineLevel="0" collapsed="false">
      <c r="A11" s="6" t="s">
        <v>20</v>
      </c>
      <c r="B11" s="7" t="n">
        <f aca="false">COUNTIFS('Test Cases'!$B$2:$B$85,$A11,'Test Cases'!$F$2:$F$85,"Positive")</f>
        <v>11</v>
      </c>
      <c r="C11" s="7" t="n">
        <f aca="false">COUNTIFS('Test Cases'!$B$2:$B$85,$A11,'Test Cases'!$F$2:$F$85,"Negative")</f>
        <v>15</v>
      </c>
      <c r="D11" s="7" t="n">
        <f aca="false">COUNTIFS('Test Cases'!$B$2:$B$85,$A11,'Test Cases'!$F$2:$F$85,"Edge")</f>
        <v>7</v>
      </c>
      <c r="E11" s="7" t="n">
        <f aca="false">COUNTIFS('Test Cases'!$B$2:$B$85,$A11,'Test Cases'!$F$2:$F$85,"Boundary")</f>
        <v>1</v>
      </c>
      <c r="F11" s="7" t="n">
        <f aca="false">COUNTIF('Test Cases'!$B$2:$B$85,$A11)</f>
        <v>34</v>
      </c>
      <c r="G11" s="7" t="n">
        <f aca="false">COUNTIFS('Test Cases'!$B$2:$B$85,$A11,'Test Cases'!$M$2:$M$85,"Automated*")</f>
        <v>33</v>
      </c>
      <c r="H11" s="7" t="n">
        <f aca="false">COUNTIFS('Test Cases'!$B$2:$B$85,$A11,'Test Cases'!$O$2:$O$85,"&lt;&gt;Not Run")</f>
        <v>34</v>
      </c>
    </row>
    <row r="12" customFormat="false" ht="15" hidden="false" customHeight="false" outlineLevel="0" collapsed="false">
      <c r="A12" s="6" t="s">
        <v>21</v>
      </c>
      <c r="B12" s="7" t="n">
        <f aca="false">COUNTIFS('Test Cases'!$B$2:$B$85,$A12,'Test Cases'!$F$2:$F$85,"Positive")</f>
        <v>22</v>
      </c>
      <c r="C12" s="7" t="n">
        <f aca="false">COUNTIFS('Test Cases'!$B$2:$B$85,$A12,'Test Cases'!$F$2:$F$85,"Negative")</f>
        <v>15</v>
      </c>
      <c r="D12" s="7" t="n">
        <f aca="false">COUNTIFS('Test Cases'!$B$2:$B$85,$A12,'Test Cases'!$F$2:$F$85,"Edge")</f>
        <v>9</v>
      </c>
      <c r="E12" s="7" t="n">
        <f aca="false">COUNTIFS('Test Cases'!$B$2:$B$85,$A12,'Test Cases'!$F$2:$F$85,"Boundary")</f>
        <v>4</v>
      </c>
      <c r="F12" s="7" t="n">
        <f aca="false">COUNTIF('Test Cases'!$B$2:$B$85,$A12)</f>
        <v>50</v>
      </c>
      <c r="G12" s="7" t="n">
        <f aca="false">COUNTIFS('Test Cases'!$B$2:$B$85,$A12,'Test Cases'!$M$2:$M$85,"Automated*")</f>
        <v>28</v>
      </c>
      <c r="H12" s="7" t="n">
        <f aca="false">COUNTIFS('Test Cases'!$B$2:$B$85,$A12,'Test Cases'!$O$2:$O$85,"&lt;&gt;Not Run")</f>
        <v>49</v>
      </c>
    </row>
    <row r="13" customFormat="false" ht="15" hidden="false" customHeight="false" outlineLevel="0" collapsed="false">
      <c r="A13" s="6" t="s">
        <v>17</v>
      </c>
      <c r="B13" s="8" t="n">
        <f aca="false">SUM(B11:B12)</f>
        <v>33</v>
      </c>
      <c r="C13" s="8" t="n">
        <f aca="false">SUM(C11:C12)</f>
        <v>30</v>
      </c>
      <c r="D13" s="8" t="n">
        <f aca="false">SUM(D11:D12)</f>
        <v>16</v>
      </c>
      <c r="E13" s="8" t="n">
        <f aca="false">SUM(E11:E12)</f>
        <v>5</v>
      </c>
      <c r="F13" s="8" t="n">
        <f aca="false">SUM(F11:F12)</f>
        <v>84</v>
      </c>
      <c r="G13" s="8" t="n">
        <f aca="false">SUM(G11:G12)</f>
        <v>61</v>
      </c>
      <c r="H13" s="8" t="n">
        <f aca="false">SUM(H11:H12)</f>
        <v>83</v>
      </c>
    </row>
    <row r="15" customFormat="false" ht="15" hidden="false" customHeight="false" outlineLevel="0" collapsed="false">
      <c r="A15" s="4" t="s">
        <v>22</v>
      </c>
    </row>
    <row r="16" customFormat="false" ht="15" hidden="false" customHeight="false" outlineLevel="0" collapsed="false">
      <c r="A16" s="5" t="s">
        <v>12</v>
      </c>
      <c r="B16" s="5" t="s">
        <v>23</v>
      </c>
      <c r="C16" s="5" t="s">
        <v>24</v>
      </c>
      <c r="D16" s="5" t="s">
        <v>25</v>
      </c>
      <c r="E16" s="5" t="s">
        <v>26</v>
      </c>
      <c r="F16" s="5" t="s">
        <v>27</v>
      </c>
      <c r="G16" s="5" t="s">
        <v>17</v>
      </c>
    </row>
    <row r="17" customFormat="false" ht="15" hidden="false" customHeight="false" outlineLevel="0" collapsed="false">
      <c r="A17" s="6" t="s">
        <v>20</v>
      </c>
      <c r="B17" s="7" t="n">
        <f aca="false">COUNTIFS('Test Cases'!$B$2:$B$85,$A17,'Test Cases'!$E$2:$E$85,"Functional")</f>
        <v>19</v>
      </c>
      <c r="C17" s="7" t="n">
        <f aca="false">COUNTIFS('Test Cases'!$B$2:$B$85,$A17,'Test Cases'!$E$2:$E$85,"Security")</f>
        <v>9</v>
      </c>
      <c r="D17" s="7" t="n">
        <f aca="false">COUNTIFS('Test Cases'!$B$2:$B$85,$A17,'Test Cases'!$E$2:$E$85,"API")</f>
        <v>3</v>
      </c>
      <c r="E17" s="7" t="n">
        <f aca="false">COUNTIFS('Test Cases'!$B$2:$B$85,$A17,'Test Cases'!$E$2:$E$85,"Usability")</f>
        <v>3</v>
      </c>
      <c r="F17" s="7" t="n">
        <f aca="false">COUNTIFS('Test Cases'!$B$2:$B$85,$A17,'Test Cases'!$E$2:$E$85,"Performance")</f>
        <v>0</v>
      </c>
      <c r="G17" s="7" t="n">
        <f aca="false">SUM(B17:F17)</f>
        <v>34</v>
      </c>
    </row>
    <row r="18" customFormat="false" ht="15" hidden="false" customHeight="false" outlineLevel="0" collapsed="false">
      <c r="A18" s="6" t="s">
        <v>21</v>
      </c>
      <c r="B18" s="7" t="n">
        <f aca="false">COUNTIFS('Test Cases'!$B$2:$B$85,$A18,'Test Cases'!$E$2:$E$85,"Functional")</f>
        <v>37</v>
      </c>
      <c r="C18" s="7" t="n">
        <f aca="false">COUNTIFS('Test Cases'!$B$2:$B$85,$A18,'Test Cases'!$E$2:$E$85,"Security")</f>
        <v>6</v>
      </c>
      <c r="D18" s="7" t="n">
        <f aca="false">COUNTIFS('Test Cases'!$B$2:$B$85,$A18,'Test Cases'!$E$2:$E$85,"API")</f>
        <v>3</v>
      </c>
      <c r="E18" s="7" t="n">
        <f aca="false">COUNTIFS('Test Cases'!$B$2:$B$85,$A18,'Test Cases'!$E$2:$E$85,"Usability")</f>
        <v>3</v>
      </c>
      <c r="F18" s="7" t="n">
        <f aca="false">COUNTIFS('Test Cases'!$B$2:$B$85,$A18,'Test Cases'!$E$2:$E$85,"Performance")</f>
        <v>1</v>
      </c>
      <c r="G18" s="7" t="n">
        <f aca="false">SUM(B18:F18)</f>
        <v>50</v>
      </c>
    </row>
    <row r="19" customFormat="false" ht="15" hidden="false" customHeight="false" outlineLevel="0" collapsed="false">
      <c r="A19" s="6" t="s">
        <v>17</v>
      </c>
      <c r="B19" s="8" t="n">
        <f aca="false">SUM(B17:B18)</f>
        <v>56</v>
      </c>
      <c r="C19" s="8" t="n">
        <f aca="false">SUM(C17:C18)</f>
        <v>15</v>
      </c>
      <c r="D19" s="8" t="n">
        <f aca="false">SUM(D17:D18)</f>
        <v>6</v>
      </c>
      <c r="E19" s="8" t="n">
        <f aca="false">SUM(E17:E18)</f>
        <v>6</v>
      </c>
      <c r="F19" s="8" t="n">
        <f aca="false">SUM(F17:F18)</f>
        <v>1</v>
      </c>
      <c r="G19" s="8" t="n">
        <f aca="false">SUM(G17:G18)</f>
        <v>84</v>
      </c>
    </row>
    <row r="21" customFormat="false" ht="15" hidden="false" customHeight="false" outlineLevel="0" collapsed="false">
      <c r="A21" s="4" t="s">
        <v>28</v>
      </c>
    </row>
    <row r="22" customFormat="false" ht="15" hidden="false" customHeight="false" outlineLevel="0" collapsed="false">
      <c r="A22" s="5" t="s">
        <v>29</v>
      </c>
      <c r="B22" s="5" t="s">
        <v>30</v>
      </c>
      <c r="C22" s="5" t="s">
        <v>31</v>
      </c>
      <c r="D22" s="5" t="s">
        <v>32</v>
      </c>
      <c r="E22" s="5" t="s">
        <v>33</v>
      </c>
    </row>
    <row r="23" customFormat="false" ht="15" hidden="false" customHeight="false" outlineLevel="0" collapsed="false">
      <c r="A23" s="6" t="s">
        <v>34</v>
      </c>
      <c r="B23" s="7" t="n">
        <f aca="false">COUNTIF('Test Cases'!$O$2:$O$85,$A23)</f>
        <v>51</v>
      </c>
      <c r="C23" s="7" t="n">
        <f aca="false">COUNTIFS('Test Cases'!$O$2:$O$85,$A23,'Test Cases'!$G$2:$G$85,"P1")</f>
        <v>15</v>
      </c>
      <c r="D23" s="7" t="n">
        <f aca="false">COUNTIFS('Test Cases'!$O$2:$O$85,$A23,'Test Cases'!$G$2:$G$85,"P2")</f>
        <v>27</v>
      </c>
      <c r="E23" s="7" t="n">
        <f aca="false">COUNTIFS('Test Cases'!$O$2:$O$85,$A23,'Test Cases'!$G$2:$G$85,"P3")</f>
        <v>9</v>
      </c>
      <c r="G23" s="9" t="s">
        <v>35</v>
      </c>
    </row>
    <row r="24" customFormat="false" ht="15" hidden="false" customHeight="false" outlineLevel="0" collapsed="false">
      <c r="A24" s="6" t="s">
        <v>36</v>
      </c>
      <c r="B24" s="7" t="n">
        <f aca="false">COUNTIF('Test Cases'!$O$2:$O$85,$A24)</f>
        <v>32</v>
      </c>
      <c r="C24" s="7" t="n">
        <f aca="false">COUNTIFS('Test Cases'!$O$2:$O$85,$A24,'Test Cases'!$G$2:$G$85,"P1")</f>
        <v>4</v>
      </c>
      <c r="D24" s="7" t="n">
        <f aca="false">COUNTIFS('Test Cases'!$O$2:$O$85,$A24,'Test Cases'!$G$2:$G$85,"P2")</f>
        <v>10</v>
      </c>
      <c r="E24" s="7" t="n">
        <f aca="false">COUNTIFS('Test Cases'!$O$2:$O$85,$A24,'Test Cases'!$G$2:$G$85,"P3")</f>
        <v>18</v>
      </c>
      <c r="G24" s="10" t="n">
        <f aca="false">IFERROR(B23/(B23+B24),0)</f>
        <v>0.614457831325301</v>
      </c>
    </row>
    <row r="25" customFormat="false" ht="15" hidden="false" customHeight="false" outlineLevel="0" collapsed="false">
      <c r="A25" s="6" t="s">
        <v>37</v>
      </c>
      <c r="B25" s="7" t="n">
        <f aca="false">COUNTIF('Test Cases'!$O$2:$O$85,$A25)</f>
        <v>0</v>
      </c>
      <c r="C25" s="7" t="n">
        <f aca="false">COUNTIFS('Test Cases'!$O$2:$O$85,$A25,'Test Cases'!$G$2:$G$85,"P1")</f>
        <v>0</v>
      </c>
      <c r="D25" s="7" t="n">
        <f aca="false">COUNTIFS('Test Cases'!$O$2:$O$85,$A25,'Test Cases'!$G$2:$G$85,"P2")</f>
        <v>0</v>
      </c>
      <c r="E25" s="7" t="n">
        <f aca="false">COUNTIFS('Test Cases'!$O$2:$O$85,$A25,'Test Cases'!$G$2:$G$85,"P3")</f>
        <v>0</v>
      </c>
    </row>
    <row r="26" customFormat="false" ht="15" hidden="false" customHeight="false" outlineLevel="0" collapsed="false">
      <c r="A26" s="6" t="s">
        <v>38</v>
      </c>
      <c r="B26" s="7" t="n">
        <f aca="false">COUNTIF('Test Cases'!$O$2:$O$85,$A26)</f>
        <v>1</v>
      </c>
      <c r="C26" s="7" t="n">
        <f aca="false">COUNTIFS('Test Cases'!$O$2:$O$85,$A26,'Test Cases'!$G$2:$G$85,"P1")</f>
        <v>0</v>
      </c>
      <c r="D26" s="7" t="n">
        <f aca="false">COUNTIFS('Test Cases'!$O$2:$O$85,$A26,'Test Cases'!$G$2:$G$85,"P2")</f>
        <v>0</v>
      </c>
      <c r="E26" s="7" t="n">
        <f aca="false">COUNTIFS('Test Cases'!$O$2:$O$85,$A26,'Test Cases'!$G$2:$G$85,"P3")</f>
        <v>1</v>
      </c>
    </row>
    <row r="27" customFormat="false" ht="15" hidden="false" customHeight="false" outlineLevel="0" collapsed="false">
      <c r="A27" s="6" t="s">
        <v>17</v>
      </c>
      <c r="B27" s="8" t="n">
        <f aca="false">SUM(B23:B26)</f>
        <v>84</v>
      </c>
      <c r="C27" s="8" t="n">
        <f aca="false">SUM(C23:C26)</f>
        <v>19</v>
      </c>
      <c r="D27" s="8" t="n">
        <f aca="false">SUM(D23:D26)</f>
        <v>37</v>
      </c>
      <c r="E27" s="8" t="n">
        <f aca="false">SUM(E23:E26)</f>
        <v>28</v>
      </c>
    </row>
    <row r="29" customFormat="false" ht="15" hidden="false" customHeight="false" outlineLevel="0" collapsed="false">
      <c r="A29" s="4" t="s">
        <v>39</v>
      </c>
    </row>
    <row r="30" customFormat="false" ht="15" hidden="false" customHeight="false" outlineLevel="0" collapsed="false">
      <c r="A30" s="5" t="s">
        <v>40</v>
      </c>
      <c r="B30" s="5" t="s">
        <v>30</v>
      </c>
      <c r="C30" s="5" t="s">
        <v>41</v>
      </c>
    </row>
    <row r="31" customFormat="false" ht="24" hidden="false" customHeight="true" outlineLevel="0" collapsed="false">
      <c r="A31" s="6" t="s">
        <v>18</v>
      </c>
      <c r="B31" s="7" t="n">
        <f aca="false">COUNTIF('Test Cases'!$M$2:$M$85,$A31)</f>
        <v>43</v>
      </c>
      <c r="C31" s="11" t="s">
        <v>42</v>
      </c>
      <c r="D31" s="11"/>
      <c r="E31" s="11"/>
      <c r="F31" s="11"/>
      <c r="G31" s="11"/>
      <c r="H31" s="11"/>
    </row>
    <row r="32" customFormat="false" ht="24" hidden="false" customHeight="true" outlineLevel="0" collapsed="false">
      <c r="A32" s="6" t="s">
        <v>43</v>
      </c>
      <c r="B32" s="7" t="n">
        <f aca="false">COUNTIF('Test Cases'!$M$2:$M$85,$A32)</f>
        <v>18</v>
      </c>
      <c r="C32" s="11" t="s">
        <v>44</v>
      </c>
      <c r="D32" s="11"/>
      <c r="E32" s="11"/>
      <c r="F32" s="11"/>
      <c r="G32" s="11"/>
      <c r="H32" s="11"/>
    </row>
    <row r="33" customFormat="false" ht="24" hidden="false" customHeight="true" outlineLevel="0" collapsed="false">
      <c r="A33" s="6" t="s">
        <v>45</v>
      </c>
      <c r="B33" s="7" t="n">
        <f aca="false">COUNTIF('Test Cases'!$M$2:$M$85,$A33)</f>
        <v>11</v>
      </c>
      <c r="C33" s="11" t="s">
        <v>46</v>
      </c>
      <c r="D33" s="11"/>
      <c r="E33" s="11"/>
      <c r="F33" s="11"/>
      <c r="G33" s="11"/>
      <c r="H33" s="11"/>
    </row>
    <row r="34" customFormat="false" ht="24" hidden="false" customHeight="true" outlineLevel="0" collapsed="false">
      <c r="A34" s="6" t="s">
        <v>47</v>
      </c>
      <c r="B34" s="7" t="n">
        <f aca="false">COUNTIF('Test Cases'!$M$2:$M$85,$A34)</f>
        <v>12</v>
      </c>
      <c r="C34" s="11" t="s">
        <v>48</v>
      </c>
      <c r="D34" s="11"/>
      <c r="E34" s="11"/>
      <c r="F34" s="11"/>
      <c r="G34" s="11"/>
      <c r="H34" s="11"/>
    </row>
    <row r="36" customFormat="false" ht="15" hidden="false" customHeight="false" outlineLevel="0" collapsed="false">
      <c r="A36" s="4" t="s">
        <v>49</v>
      </c>
    </row>
    <row r="37" customFormat="false" ht="15" hidden="false" customHeight="false" outlineLevel="0" collapsed="false">
      <c r="A37" s="5" t="s">
        <v>50</v>
      </c>
      <c r="B37" s="5" t="s">
        <v>30</v>
      </c>
      <c r="C37" s="5" t="s">
        <v>41</v>
      </c>
    </row>
    <row r="38" customFormat="false" ht="27.75" hidden="false" customHeight="true" outlineLevel="0" collapsed="false">
      <c r="A38" s="6" t="s">
        <v>51</v>
      </c>
      <c r="B38" s="7" t="n">
        <f aca="false">COUNTIF('Test Cases'!$H$2:$H$85,$A38)</f>
        <v>5</v>
      </c>
      <c r="C38" s="11" t="s">
        <v>52</v>
      </c>
      <c r="D38" s="11"/>
      <c r="E38" s="11"/>
      <c r="F38" s="11"/>
      <c r="G38" s="11"/>
      <c r="H38" s="11"/>
    </row>
    <row r="39" customFormat="false" ht="27.75" hidden="false" customHeight="true" outlineLevel="0" collapsed="false">
      <c r="A39" s="6" t="s">
        <v>53</v>
      </c>
      <c r="B39" s="7" t="n">
        <f aca="false">COUNTIF('Test Cases'!$H$2:$H$85,$A39)</f>
        <v>36</v>
      </c>
      <c r="C39" s="11" t="s">
        <v>54</v>
      </c>
      <c r="D39" s="11"/>
      <c r="E39" s="11"/>
      <c r="F39" s="11"/>
      <c r="G39" s="11"/>
      <c r="H39" s="11"/>
    </row>
    <row r="40" customFormat="false" ht="27.75" hidden="false" customHeight="true" outlineLevel="0" collapsed="false">
      <c r="A40" s="6" t="s">
        <v>55</v>
      </c>
      <c r="B40" s="7" t="n">
        <f aca="false">COUNTIF('Test Cases'!$H$2:$H$85,$A40)</f>
        <v>43</v>
      </c>
      <c r="C40" s="11" t="s">
        <v>56</v>
      </c>
      <c r="D40" s="11"/>
      <c r="E40" s="11"/>
      <c r="F40" s="11"/>
      <c r="G40" s="11"/>
      <c r="H40" s="11"/>
    </row>
    <row r="42" customFormat="false" ht="15" hidden="false" customHeight="false" outlineLevel="0" collapsed="false">
      <c r="A42" s="4" t="s">
        <v>57</v>
      </c>
    </row>
    <row r="43" customFormat="false" ht="15" hidden="false" customHeight="false" outlineLevel="0" collapsed="false">
      <c r="A43" s="5" t="s">
        <v>58</v>
      </c>
      <c r="B43" s="5" t="s">
        <v>59</v>
      </c>
      <c r="C43" s="5" t="s">
        <v>60</v>
      </c>
    </row>
    <row r="44" customFormat="false" ht="27.75" hidden="false" customHeight="true" outlineLevel="0" collapsed="false">
      <c r="A44" s="6" t="s">
        <v>61</v>
      </c>
      <c r="B44" s="7" t="n">
        <f aca="false">COUNTIF('Potential Defects'!$C$2:$C$29,$A44)</f>
        <v>11</v>
      </c>
      <c r="C44" s="7" t="n">
        <f aca="false">COUNTIFS('Potential Defects'!$C$2:$C$29,$A44,'Potential Defects'!$I$2:$I$29,"Reproduced")</f>
        <v>9</v>
      </c>
    </row>
    <row r="45" customFormat="false" ht="27.75" hidden="false" customHeight="true" outlineLevel="0" collapsed="false">
      <c r="A45" s="6" t="s">
        <v>62</v>
      </c>
      <c r="B45" s="7" t="n">
        <f aca="false">COUNTIF('Potential Defects'!$C$2:$C$29,$A45)</f>
        <v>8</v>
      </c>
      <c r="C45" s="7" t="n">
        <f aca="false">COUNTIFS('Potential Defects'!$C$2:$C$29,$A45,'Potential Defects'!$I$2:$I$29,"Reproduced")</f>
        <v>8</v>
      </c>
    </row>
    <row r="46" customFormat="false" ht="27.75" hidden="false" customHeight="true" outlineLevel="0" collapsed="false">
      <c r="A46" s="6" t="s">
        <v>63</v>
      </c>
      <c r="B46" s="7" t="n">
        <f aca="false">COUNTIF('Potential Defects'!$C$2:$C$29,$A46)</f>
        <v>5</v>
      </c>
      <c r="C46" s="7" t="n">
        <f aca="false">COUNTIFS('Potential Defects'!$C$2:$C$29,$A46,'Potential Defects'!$I$2:$I$29,"Reproduced")</f>
        <v>5</v>
      </c>
    </row>
    <row r="47" customFormat="false" ht="27.75" hidden="false" customHeight="true" outlineLevel="0" collapsed="false">
      <c r="A47" s="6" t="s">
        <v>64</v>
      </c>
      <c r="B47" s="7" t="n">
        <f aca="false">COUNTIF('Potential Defects'!$C$2:$C$29,$A47)</f>
        <v>4</v>
      </c>
      <c r="C47" s="7" t="n">
        <f aca="false">COUNTIFS('Potential Defects'!$C$2:$C$29,$A47,'Potential Defects'!$I$2:$I$29,"Reproduced")</f>
        <v>4</v>
      </c>
    </row>
    <row r="48" customFormat="false" ht="15" hidden="false" customHeight="false" outlineLevel="0" collapsed="false">
      <c r="A48" s="6" t="s">
        <v>17</v>
      </c>
      <c r="B48" s="8" t="n">
        <f aca="false">SUM(B44:B47)</f>
        <v>28</v>
      </c>
      <c r="C48" s="8" t="n">
        <f aca="false">SUM(C44:C47)</f>
        <v>26</v>
      </c>
    </row>
    <row r="50" customFormat="false" ht="15" hidden="false" customHeight="false" outlineLevel="0" collapsed="false">
      <c r="A50" s="4" t="s">
        <v>65</v>
      </c>
    </row>
    <row r="51" customFormat="false" ht="15" hidden="false" customHeight="false" outlineLevel="0" collapsed="false">
      <c r="A51" s="5" t="s">
        <v>66</v>
      </c>
      <c r="B51" s="5" t="s">
        <v>67</v>
      </c>
    </row>
    <row r="52" customFormat="false" ht="21" hidden="false" customHeight="true" outlineLevel="0" collapsed="false">
      <c r="A52" s="6" t="s">
        <v>68</v>
      </c>
      <c r="B52" s="11" t="s">
        <v>69</v>
      </c>
      <c r="C52" s="11"/>
      <c r="D52" s="11"/>
      <c r="E52" s="11"/>
      <c r="F52" s="11"/>
      <c r="G52" s="11"/>
      <c r="H52" s="11"/>
    </row>
    <row r="53" customFormat="false" ht="36" hidden="false" customHeight="true" outlineLevel="0" collapsed="false">
      <c r="A53" s="6" t="s">
        <v>70</v>
      </c>
      <c r="B53" s="11" t="s">
        <v>71</v>
      </c>
      <c r="C53" s="11"/>
      <c r="D53" s="11"/>
      <c r="E53" s="11"/>
      <c r="F53" s="11"/>
      <c r="G53" s="11"/>
      <c r="H53" s="11"/>
    </row>
    <row r="54" customFormat="false" ht="21" hidden="false" customHeight="true" outlineLevel="0" collapsed="false">
      <c r="A54" s="6" t="s">
        <v>72</v>
      </c>
      <c r="B54" s="11" t="s">
        <v>73</v>
      </c>
      <c r="C54" s="11"/>
      <c r="D54" s="11"/>
      <c r="E54" s="11"/>
      <c r="F54" s="11"/>
      <c r="G54" s="11"/>
      <c r="H54" s="11"/>
    </row>
    <row r="55" customFormat="false" ht="36" hidden="false" customHeight="true" outlineLevel="0" collapsed="false">
      <c r="A55" s="6" t="s">
        <v>74</v>
      </c>
      <c r="B55" s="11" t="s">
        <v>75</v>
      </c>
      <c r="C55" s="11"/>
      <c r="D55" s="11"/>
      <c r="E55" s="11"/>
      <c r="F55" s="11"/>
      <c r="G55" s="11"/>
      <c r="H55" s="11"/>
    </row>
    <row r="56" customFormat="false" ht="36" hidden="false" customHeight="true" outlineLevel="0" collapsed="false">
      <c r="A56" s="6" t="s">
        <v>76</v>
      </c>
      <c r="B56" s="11" t="s">
        <v>77</v>
      </c>
      <c r="C56" s="11"/>
      <c r="D56" s="11"/>
      <c r="E56" s="11"/>
      <c r="F56" s="11"/>
      <c r="G56" s="11"/>
      <c r="H56" s="11"/>
    </row>
    <row r="57" customFormat="false" ht="36" hidden="false" customHeight="true" outlineLevel="0" collapsed="false">
      <c r="A57" s="6" t="s">
        <v>78</v>
      </c>
      <c r="B57" s="11" t="s">
        <v>79</v>
      </c>
      <c r="C57" s="11"/>
      <c r="D57" s="11"/>
      <c r="E57" s="11"/>
      <c r="F57" s="11"/>
      <c r="G57" s="11"/>
      <c r="H57" s="11"/>
    </row>
    <row r="58" customFormat="false" ht="36" hidden="false" customHeight="true" outlineLevel="0" collapsed="false">
      <c r="A58" s="6" t="s">
        <v>80</v>
      </c>
      <c r="B58" s="11" t="s">
        <v>81</v>
      </c>
      <c r="C58" s="11"/>
      <c r="D58" s="11"/>
      <c r="E58" s="11"/>
      <c r="F58" s="11"/>
      <c r="G58" s="11"/>
      <c r="H58" s="11"/>
    </row>
    <row r="60" customFormat="false" ht="15" hidden="false" customHeight="false" outlineLevel="0" collapsed="false">
      <c r="A60" s="4" t="s">
        <v>82</v>
      </c>
    </row>
    <row r="61" customFormat="false" ht="15" hidden="false" customHeight="false" outlineLevel="0" collapsed="false">
      <c r="A61" s="5" t="s">
        <v>7</v>
      </c>
      <c r="B61" s="5" t="s">
        <v>83</v>
      </c>
      <c r="C61" s="5" t="s">
        <v>84</v>
      </c>
    </row>
    <row r="62" customFormat="false" ht="21" hidden="false" customHeight="true" outlineLevel="0" collapsed="false">
      <c r="A62" s="6" t="s">
        <v>85</v>
      </c>
      <c r="B62" s="7" t="s">
        <v>86</v>
      </c>
      <c r="C62" s="11" t="s">
        <v>87</v>
      </c>
      <c r="D62" s="11"/>
      <c r="E62" s="11"/>
      <c r="F62" s="11"/>
      <c r="G62" s="11"/>
      <c r="H62" s="11"/>
    </row>
    <row r="63" customFormat="false" ht="66" hidden="false" customHeight="true" outlineLevel="0" collapsed="false">
      <c r="A63" s="6" t="s">
        <v>88</v>
      </c>
      <c r="B63" s="7" t="s">
        <v>89</v>
      </c>
      <c r="C63" s="11" t="s">
        <v>90</v>
      </c>
      <c r="D63" s="11"/>
      <c r="E63" s="11"/>
      <c r="F63" s="11"/>
      <c r="G63" s="11"/>
      <c r="H63" s="11"/>
    </row>
    <row r="64" customFormat="false" ht="51" hidden="false" customHeight="true" outlineLevel="0" collapsed="false">
      <c r="A64" s="6" t="s">
        <v>91</v>
      </c>
      <c r="B64" s="7" t="s">
        <v>89</v>
      </c>
      <c r="C64" s="11" t="s">
        <v>92</v>
      </c>
      <c r="D64" s="11"/>
      <c r="E64" s="11"/>
      <c r="F64" s="11"/>
      <c r="G64" s="11"/>
      <c r="H64" s="11"/>
    </row>
    <row r="65" customFormat="false" ht="51" hidden="false" customHeight="true" outlineLevel="0" collapsed="false">
      <c r="A65" s="6" t="s">
        <v>93</v>
      </c>
      <c r="B65" s="7" t="s">
        <v>89</v>
      </c>
      <c r="C65" s="11" t="s">
        <v>94</v>
      </c>
      <c r="D65" s="11"/>
      <c r="E65" s="11"/>
      <c r="F65" s="11"/>
      <c r="G65" s="11"/>
      <c r="H65" s="11"/>
    </row>
    <row r="66" customFormat="false" ht="36" hidden="false" customHeight="true" outlineLevel="0" collapsed="false">
      <c r="A66" s="6" t="s">
        <v>95</v>
      </c>
      <c r="B66" s="7" t="s">
        <v>89</v>
      </c>
      <c r="C66" s="11" t="s">
        <v>96</v>
      </c>
      <c r="D66" s="11"/>
      <c r="E66" s="11"/>
      <c r="F66" s="11"/>
      <c r="G66" s="11"/>
      <c r="H66" s="11"/>
    </row>
    <row r="67" customFormat="false" ht="51" hidden="false" customHeight="true" outlineLevel="0" collapsed="false">
      <c r="A67" s="6" t="s">
        <v>97</v>
      </c>
      <c r="B67" s="7" t="s">
        <v>89</v>
      </c>
      <c r="C67" s="11" t="s">
        <v>98</v>
      </c>
      <c r="D67" s="11"/>
      <c r="E67" s="11"/>
      <c r="F67" s="11"/>
      <c r="G67" s="11"/>
      <c r="H67" s="11"/>
    </row>
    <row r="68" customFormat="false" ht="51" hidden="false" customHeight="true" outlineLevel="0" collapsed="false">
      <c r="A68" s="6" t="s">
        <v>99</v>
      </c>
      <c r="B68" s="7" t="s">
        <v>89</v>
      </c>
      <c r="C68" s="11" t="s">
        <v>100</v>
      </c>
      <c r="D68" s="11"/>
      <c r="E68" s="11"/>
      <c r="F68" s="11"/>
      <c r="G68" s="11"/>
      <c r="H68" s="11"/>
    </row>
    <row r="69" customFormat="false" ht="66" hidden="false" customHeight="true" outlineLevel="0" collapsed="false">
      <c r="A69" s="6" t="s">
        <v>101</v>
      </c>
      <c r="B69" s="7" t="s">
        <v>89</v>
      </c>
      <c r="C69" s="11" t="s">
        <v>102</v>
      </c>
      <c r="D69" s="11"/>
      <c r="E69" s="11"/>
      <c r="F69" s="11"/>
      <c r="G69" s="11"/>
      <c r="H69" s="11"/>
    </row>
  </sheetData>
  <mergeCells count="27">
    <mergeCell ref="B3:H3"/>
    <mergeCell ref="B4:H4"/>
    <mergeCell ref="B5:H5"/>
    <mergeCell ref="B6:H6"/>
    <mergeCell ref="B7:H7"/>
    <mergeCell ref="C31:H31"/>
    <mergeCell ref="C32:H32"/>
    <mergeCell ref="C33:H33"/>
    <mergeCell ref="C34:H34"/>
    <mergeCell ref="C38:H38"/>
    <mergeCell ref="C39:H39"/>
    <mergeCell ref="C40:H40"/>
    <mergeCell ref="B52:H52"/>
    <mergeCell ref="B53:H53"/>
    <mergeCell ref="B54:H54"/>
    <mergeCell ref="B55:H55"/>
    <mergeCell ref="B56:H56"/>
    <mergeCell ref="B57:H57"/>
    <mergeCell ref="B58:H58"/>
    <mergeCell ref="C62:H62"/>
    <mergeCell ref="C63:H63"/>
    <mergeCell ref="C64:H64"/>
    <mergeCell ref="C65:H65"/>
    <mergeCell ref="C66:H66"/>
    <mergeCell ref="C67:H67"/>
    <mergeCell ref="C68:H68"/>
    <mergeCell ref="C69:H69"/>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5"/>
    <col collapsed="false" customWidth="true" hidden="false" outlineLevel="0" max="4" min="4" style="0" width="34"/>
    <col collapsed="false" customWidth="true" hidden="false" outlineLevel="0" max="5" min="5" style="0" width="12"/>
    <col collapsed="false" customWidth="true" hidden="false" outlineLevel="0" max="6" min="6" style="0" width="11"/>
    <col collapsed="false" customWidth="true" hidden="false" outlineLevel="0" max="7" min="7" style="0" width="8"/>
    <col collapsed="false" customWidth="true" hidden="false" outlineLevel="0" max="8" min="8" style="0" width="15"/>
    <col collapsed="false" customWidth="true" hidden="false" outlineLevel="0" max="9" min="9" style="0" width="28"/>
    <col collapsed="false" customWidth="true" hidden="false" outlineLevel="0" max="10" min="10" style="0" width="46"/>
    <col collapsed="false" customWidth="true" hidden="false" outlineLevel="0" max="11" min="11" style="0" width="28"/>
    <col collapsed="false" customWidth="true" hidden="false" outlineLevel="0" max="12" min="12" style="0" width="44"/>
    <col collapsed="false" customWidth="true" hidden="false" outlineLevel="0" max="13" min="13" style="0" width="20"/>
    <col collapsed="false" customWidth="true" hidden="false" outlineLevel="0" max="14" min="14" style="0" width="34"/>
    <col collapsed="false" customWidth="true" hidden="false" outlineLevel="0" max="15" min="15" style="0" width="9"/>
    <col collapsed="false" customWidth="true" hidden="false" outlineLevel="0" max="16" min="16" style="0" width="12"/>
    <col collapsed="false" customWidth="true" hidden="false" outlineLevel="0" max="17" min="17" style="0" width="14"/>
    <col collapsed="false" customWidth="true" hidden="false" outlineLevel="0" max="18" min="18" style="0" width="12"/>
    <col collapsed="false" customWidth="true" hidden="false" outlineLevel="0" max="19" min="19" style="0" width="38"/>
  </cols>
  <sheetData>
    <row r="1" customFormat="false" ht="30" hidden="false" customHeight="true" outlineLevel="0" collapsed="false">
      <c r="A1" s="5" t="s">
        <v>103</v>
      </c>
      <c r="B1" s="5" t="s">
        <v>12</v>
      </c>
      <c r="C1" s="5" t="s">
        <v>104</v>
      </c>
      <c r="D1" s="5" t="s">
        <v>68</v>
      </c>
      <c r="E1" s="5" t="s">
        <v>105</v>
      </c>
      <c r="F1" s="5" t="s">
        <v>78</v>
      </c>
      <c r="G1" s="5" t="s">
        <v>76</v>
      </c>
      <c r="H1" s="5" t="s">
        <v>106</v>
      </c>
      <c r="I1" s="5" t="s">
        <v>107</v>
      </c>
      <c r="J1" s="5" t="s">
        <v>108</v>
      </c>
      <c r="K1" s="5" t="s">
        <v>109</v>
      </c>
      <c r="L1" s="5" t="s">
        <v>72</v>
      </c>
      <c r="M1" s="5" t="s">
        <v>110</v>
      </c>
      <c r="N1" s="5" t="s">
        <v>111</v>
      </c>
      <c r="O1" s="5" t="s">
        <v>29</v>
      </c>
      <c r="P1" s="5" t="s">
        <v>112</v>
      </c>
      <c r="Q1" s="5" t="s">
        <v>113</v>
      </c>
      <c r="R1" s="5" t="s">
        <v>114</v>
      </c>
      <c r="S1" s="5" t="s">
        <v>115</v>
      </c>
    </row>
    <row r="2" customFormat="false" ht="87.75" hidden="false" customHeight="true" outlineLevel="0" collapsed="false">
      <c r="A2" s="12" t="s">
        <v>116</v>
      </c>
      <c r="B2" s="12" t="s">
        <v>20</v>
      </c>
      <c r="C2" s="13" t="s">
        <v>117</v>
      </c>
      <c r="D2" s="13" t="s">
        <v>118</v>
      </c>
      <c r="E2" s="12" t="s">
        <v>23</v>
      </c>
      <c r="F2" s="12" t="s">
        <v>13</v>
      </c>
      <c r="G2" s="12" t="s">
        <v>31</v>
      </c>
      <c r="H2" s="13" t="s">
        <v>53</v>
      </c>
      <c r="I2" s="13" t="s">
        <v>119</v>
      </c>
      <c r="J2" s="13" t="s">
        <v>120</v>
      </c>
      <c r="K2" s="13" t="s">
        <v>121</v>
      </c>
      <c r="L2" s="13" t="s">
        <v>122</v>
      </c>
      <c r="M2" s="13" t="s">
        <v>18</v>
      </c>
      <c r="N2" s="13" t="s">
        <v>123</v>
      </c>
      <c r="O2" s="12" t="s">
        <v>34</v>
      </c>
      <c r="P2" s="12" t="s">
        <v>89</v>
      </c>
      <c r="Q2" s="12" t="s">
        <v>124</v>
      </c>
      <c r="R2" s="12"/>
      <c r="S2" s="13" t="s">
        <v>125</v>
      </c>
    </row>
    <row r="3" customFormat="false" ht="61.5" hidden="false" customHeight="true" outlineLevel="0" collapsed="false">
      <c r="A3" s="14" t="s">
        <v>126</v>
      </c>
      <c r="B3" s="14" t="s">
        <v>20</v>
      </c>
      <c r="C3" s="15" t="s">
        <v>117</v>
      </c>
      <c r="D3" s="15" t="s">
        <v>127</v>
      </c>
      <c r="E3" s="14" t="s">
        <v>23</v>
      </c>
      <c r="F3" s="14" t="s">
        <v>14</v>
      </c>
      <c r="G3" s="14" t="s">
        <v>32</v>
      </c>
      <c r="H3" s="15" t="s">
        <v>53</v>
      </c>
      <c r="I3" s="15" t="s">
        <v>128</v>
      </c>
      <c r="J3" s="15" t="s">
        <v>129</v>
      </c>
      <c r="K3" s="15" t="s">
        <v>130</v>
      </c>
      <c r="L3" s="15" t="s">
        <v>131</v>
      </c>
      <c r="M3" s="15" t="s">
        <v>18</v>
      </c>
      <c r="N3" s="15" t="s">
        <v>132</v>
      </c>
      <c r="O3" s="14" t="s">
        <v>34</v>
      </c>
      <c r="P3" s="14" t="s">
        <v>89</v>
      </c>
      <c r="Q3" s="14" t="s">
        <v>124</v>
      </c>
      <c r="R3" s="14"/>
      <c r="S3" s="15" t="s">
        <v>125</v>
      </c>
    </row>
    <row r="4" customFormat="false" ht="48.75" hidden="false" customHeight="true" outlineLevel="0" collapsed="false">
      <c r="A4" s="12" t="s">
        <v>133</v>
      </c>
      <c r="B4" s="12" t="s">
        <v>20</v>
      </c>
      <c r="C4" s="13" t="s">
        <v>20</v>
      </c>
      <c r="D4" s="13" t="s">
        <v>134</v>
      </c>
      <c r="E4" s="12" t="s">
        <v>23</v>
      </c>
      <c r="F4" s="12" t="s">
        <v>13</v>
      </c>
      <c r="G4" s="12" t="s">
        <v>33</v>
      </c>
      <c r="H4" s="13" t="s">
        <v>53</v>
      </c>
      <c r="I4" s="13" t="s">
        <v>119</v>
      </c>
      <c r="J4" s="13" t="s">
        <v>135</v>
      </c>
      <c r="K4" s="13" t="s">
        <v>136</v>
      </c>
      <c r="L4" s="13" t="s">
        <v>137</v>
      </c>
      <c r="M4" s="13" t="s">
        <v>18</v>
      </c>
      <c r="N4" s="13" t="s">
        <v>138</v>
      </c>
      <c r="O4" s="12" t="s">
        <v>34</v>
      </c>
      <c r="P4" s="12" t="s">
        <v>89</v>
      </c>
      <c r="Q4" s="12" t="s">
        <v>124</v>
      </c>
      <c r="R4" s="12"/>
      <c r="S4" s="13" t="s">
        <v>139</v>
      </c>
    </row>
    <row r="5" customFormat="false" ht="75" hidden="false" customHeight="true" outlineLevel="0" collapsed="false">
      <c r="A5" s="14" t="s">
        <v>140</v>
      </c>
      <c r="B5" s="14" t="s">
        <v>20</v>
      </c>
      <c r="C5" s="15" t="s">
        <v>20</v>
      </c>
      <c r="D5" s="15" t="s">
        <v>141</v>
      </c>
      <c r="E5" s="14" t="s">
        <v>23</v>
      </c>
      <c r="F5" s="14" t="s">
        <v>13</v>
      </c>
      <c r="G5" s="14" t="s">
        <v>31</v>
      </c>
      <c r="H5" s="15" t="s">
        <v>51</v>
      </c>
      <c r="I5" s="15" t="s">
        <v>128</v>
      </c>
      <c r="J5" s="15" t="s">
        <v>142</v>
      </c>
      <c r="K5" s="15" t="s">
        <v>143</v>
      </c>
      <c r="L5" s="15" t="s">
        <v>144</v>
      </c>
      <c r="M5" s="15" t="s">
        <v>18</v>
      </c>
      <c r="N5" s="15" t="s">
        <v>145</v>
      </c>
      <c r="O5" s="14" t="s">
        <v>34</v>
      </c>
      <c r="P5" s="14" t="s">
        <v>89</v>
      </c>
      <c r="Q5" s="14" t="s">
        <v>146</v>
      </c>
      <c r="R5" s="14"/>
      <c r="S5" s="15" t="s">
        <v>139</v>
      </c>
    </row>
    <row r="6" customFormat="false" ht="114" hidden="false" customHeight="true" outlineLevel="0" collapsed="false">
      <c r="A6" s="12" t="s">
        <v>147</v>
      </c>
      <c r="B6" s="12" t="s">
        <v>20</v>
      </c>
      <c r="C6" s="13" t="s">
        <v>20</v>
      </c>
      <c r="D6" s="13" t="s">
        <v>148</v>
      </c>
      <c r="E6" s="12" t="s">
        <v>23</v>
      </c>
      <c r="F6" s="12" t="s">
        <v>13</v>
      </c>
      <c r="G6" s="12" t="s">
        <v>33</v>
      </c>
      <c r="H6" s="13" t="s">
        <v>53</v>
      </c>
      <c r="I6" s="13" t="s">
        <v>149</v>
      </c>
      <c r="J6" s="13" t="s">
        <v>150</v>
      </c>
      <c r="K6" s="13" t="s">
        <v>151</v>
      </c>
      <c r="L6" s="13" t="s">
        <v>152</v>
      </c>
      <c r="M6" s="13" t="s">
        <v>18</v>
      </c>
      <c r="N6" s="13" t="s">
        <v>153</v>
      </c>
      <c r="O6" s="12" t="s">
        <v>34</v>
      </c>
      <c r="P6" s="12" t="s">
        <v>89</v>
      </c>
      <c r="Q6" s="12" t="s">
        <v>124</v>
      </c>
      <c r="R6" s="12"/>
      <c r="S6" s="13" t="s">
        <v>139</v>
      </c>
    </row>
    <row r="7" customFormat="false" ht="75" hidden="false" customHeight="true" outlineLevel="0" collapsed="false">
      <c r="A7" s="14" t="s">
        <v>154</v>
      </c>
      <c r="B7" s="14" t="s">
        <v>20</v>
      </c>
      <c r="C7" s="15" t="s">
        <v>20</v>
      </c>
      <c r="D7" s="15" t="s">
        <v>155</v>
      </c>
      <c r="E7" s="14" t="s">
        <v>23</v>
      </c>
      <c r="F7" s="14" t="s">
        <v>14</v>
      </c>
      <c r="G7" s="14" t="s">
        <v>31</v>
      </c>
      <c r="H7" s="15" t="s">
        <v>53</v>
      </c>
      <c r="I7" s="15" t="s">
        <v>128</v>
      </c>
      <c r="J7" s="15" t="s">
        <v>156</v>
      </c>
      <c r="K7" s="15" t="s">
        <v>157</v>
      </c>
      <c r="L7" s="15" t="s">
        <v>158</v>
      </c>
      <c r="M7" s="15" t="s">
        <v>18</v>
      </c>
      <c r="N7" s="15" t="s">
        <v>159</v>
      </c>
      <c r="O7" s="14" t="s">
        <v>34</v>
      </c>
      <c r="P7" s="14" t="s">
        <v>89</v>
      </c>
      <c r="Q7" s="14" t="s">
        <v>124</v>
      </c>
      <c r="R7" s="14"/>
      <c r="S7" s="15" t="s">
        <v>139</v>
      </c>
    </row>
    <row r="8" customFormat="false" ht="61.5" hidden="false" customHeight="true" outlineLevel="0" collapsed="false">
      <c r="A8" s="12" t="s">
        <v>160</v>
      </c>
      <c r="B8" s="12" t="s">
        <v>20</v>
      </c>
      <c r="C8" s="13" t="s">
        <v>20</v>
      </c>
      <c r="D8" s="13" t="s">
        <v>161</v>
      </c>
      <c r="E8" s="12" t="s">
        <v>23</v>
      </c>
      <c r="F8" s="12" t="s">
        <v>14</v>
      </c>
      <c r="G8" s="12" t="s">
        <v>31</v>
      </c>
      <c r="H8" s="13" t="s">
        <v>53</v>
      </c>
      <c r="I8" s="13" t="s">
        <v>119</v>
      </c>
      <c r="J8" s="13" t="s">
        <v>162</v>
      </c>
      <c r="K8" s="13" t="s">
        <v>163</v>
      </c>
      <c r="L8" s="13" t="s">
        <v>164</v>
      </c>
      <c r="M8" s="13" t="s">
        <v>18</v>
      </c>
      <c r="N8" s="13" t="s">
        <v>165</v>
      </c>
      <c r="O8" s="12" t="s">
        <v>34</v>
      </c>
      <c r="P8" s="12" t="s">
        <v>89</v>
      </c>
      <c r="Q8" s="12" t="s">
        <v>124</v>
      </c>
      <c r="R8" s="12"/>
      <c r="S8" s="13" t="s">
        <v>139</v>
      </c>
    </row>
    <row r="9" customFormat="false" ht="61.5" hidden="false" customHeight="true" outlineLevel="0" collapsed="false">
      <c r="A9" s="14" t="s">
        <v>166</v>
      </c>
      <c r="B9" s="14" t="s">
        <v>20</v>
      </c>
      <c r="C9" s="15" t="s">
        <v>20</v>
      </c>
      <c r="D9" s="15" t="s">
        <v>167</v>
      </c>
      <c r="E9" s="14" t="s">
        <v>23</v>
      </c>
      <c r="F9" s="14" t="s">
        <v>14</v>
      </c>
      <c r="G9" s="14" t="s">
        <v>31</v>
      </c>
      <c r="H9" s="15" t="s">
        <v>53</v>
      </c>
      <c r="I9" s="15" t="s">
        <v>119</v>
      </c>
      <c r="J9" s="15" t="s">
        <v>168</v>
      </c>
      <c r="K9" s="15" t="s">
        <v>169</v>
      </c>
      <c r="L9" s="15" t="s">
        <v>170</v>
      </c>
      <c r="M9" s="15" t="s">
        <v>18</v>
      </c>
      <c r="N9" s="15" t="s">
        <v>171</v>
      </c>
      <c r="O9" s="14" t="s">
        <v>34</v>
      </c>
      <c r="P9" s="14" t="s">
        <v>89</v>
      </c>
      <c r="Q9" s="14" t="s">
        <v>124</v>
      </c>
      <c r="R9" s="14"/>
      <c r="S9" s="15" t="s">
        <v>139</v>
      </c>
    </row>
    <row r="10" customFormat="false" ht="75" hidden="false" customHeight="true" outlineLevel="0" collapsed="false">
      <c r="A10" s="12" t="s">
        <v>172</v>
      </c>
      <c r="B10" s="12" t="s">
        <v>20</v>
      </c>
      <c r="C10" s="13" t="s">
        <v>20</v>
      </c>
      <c r="D10" s="13" t="s">
        <v>173</v>
      </c>
      <c r="E10" s="12" t="s">
        <v>23</v>
      </c>
      <c r="F10" s="12" t="s">
        <v>14</v>
      </c>
      <c r="G10" s="12" t="s">
        <v>32</v>
      </c>
      <c r="H10" s="13" t="s">
        <v>53</v>
      </c>
      <c r="I10" s="13" t="s">
        <v>119</v>
      </c>
      <c r="J10" s="13" t="s">
        <v>174</v>
      </c>
      <c r="K10" s="13" t="s">
        <v>175</v>
      </c>
      <c r="L10" s="13" t="s">
        <v>176</v>
      </c>
      <c r="M10" s="13" t="s">
        <v>18</v>
      </c>
      <c r="N10" s="13" t="s">
        <v>171</v>
      </c>
      <c r="O10" s="12" t="s">
        <v>34</v>
      </c>
      <c r="P10" s="12" t="s">
        <v>89</v>
      </c>
      <c r="Q10" s="12" t="s">
        <v>124</v>
      </c>
      <c r="R10" s="12"/>
      <c r="S10" s="13" t="s">
        <v>139</v>
      </c>
    </row>
    <row r="11" customFormat="false" ht="61.5" hidden="false" customHeight="true" outlineLevel="0" collapsed="false">
      <c r="A11" s="14" t="s">
        <v>177</v>
      </c>
      <c r="B11" s="14" t="s">
        <v>20</v>
      </c>
      <c r="C11" s="15" t="s">
        <v>20</v>
      </c>
      <c r="D11" s="15" t="s">
        <v>178</v>
      </c>
      <c r="E11" s="14" t="s">
        <v>23</v>
      </c>
      <c r="F11" s="14" t="s">
        <v>14</v>
      </c>
      <c r="G11" s="14" t="s">
        <v>32</v>
      </c>
      <c r="H11" s="15" t="s">
        <v>53</v>
      </c>
      <c r="I11" s="15" t="s">
        <v>128</v>
      </c>
      <c r="J11" s="15" t="s">
        <v>179</v>
      </c>
      <c r="K11" s="15" t="s">
        <v>180</v>
      </c>
      <c r="L11" s="15" t="s">
        <v>176</v>
      </c>
      <c r="M11" s="15" t="s">
        <v>18</v>
      </c>
      <c r="N11" s="15" t="s">
        <v>171</v>
      </c>
      <c r="O11" s="14" t="s">
        <v>34</v>
      </c>
      <c r="P11" s="14" t="s">
        <v>89</v>
      </c>
      <c r="Q11" s="14" t="s">
        <v>124</v>
      </c>
      <c r="R11" s="14"/>
      <c r="S11" s="15" t="s">
        <v>139</v>
      </c>
    </row>
    <row r="12" customFormat="false" ht="75" hidden="false" customHeight="true" outlineLevel="0" collapsed="false">
      <c r="A12" s="12" t="s">
        <v>181</v>
      </c>
      <c r="B12" s="12" t="s">
        <v>20</v>
      </c>
      <c r="C12" s="13" t="s">
        <v>20</v>
      </c>
      <c r="D12" s="13" t="s">
        <v>182</v>
      </c>
      <c r="E12" s="12" t="s">
        <v>23</v>
      </c>
      <c r="F12" s="12" t="s">
        <v>15</v>
      </c>
      <c r="G12" s="12" t="s">
        <v>33</v>
      </c>
      <c r="H12" s="13" t="s">
        <v>55</v>
      </c>
      <c r="I12" s="13" t="s">
        <v>119</v>
      </c>
      <c r="J12" s="13" t="s">
        <v>183</v>
      </c>
      <c r="K12" s="13" t="s">
        <v>184</v>
      </c>
      <c r="L12" s="13" t="s">
        <v>185</v>
      </c>
      <c r="M12" s="13" t="s">
        <v>43</v>
      </c>
      <c r="N12" s="13" t="s">
        <v>186</v>
      </c>
      <c r="O12" s="12" t="s">
        <v>36</v>
      </c>
      <c r="P12" s="12" t="s">
        <v>89</v>
      </c>
      <c r="Q12" s="12" t="s">
        <v>124</v>
      </c>
      <c r="R12" s="12" t="s">
        <v>187</v>
      </c>
      <c r="S12" s="13" t="s">
        <v>139</v>
      </c>
    </row>
    <row r="13" customFormat="false" ht="75" hidden="false" customHeight="true" outlineLevel="0" collapsed="false">
      <c r="A13" s="14" t="s">
        <v>188</v>
      </c>
      <c r="B13" s="14" t="s">
        <v>20</v>
      </c>
      <c r="C13" s="15" t="s">
        <v>20</v>
      </c>
      <c r="D13" s="15" t="s">
        <v>189</v>
      </c>
      <c r="E13" s="14" t="s">
        <v>23</v>
      </c>
      <c r="F13" s="14" t="s">
        <v>15</v>
      </c>
      <c r="G13" s="14" t="s">
        <v>33</v>
      </c>
      <c r="H13" s="15" t="s">
        <v>55</v>
      </c>
      <c r="I13" s="15" t="s">
        <v>128</v>
      </c>
      <c r="J13" s="15" t="s">
        <v>190</v>
      </c>
      <c r="K13" s="15" t="s">
        <v>191</v>
      </c>
      <c r="L13" s="15" t="s">
        <v>192</v>
      </c>
      <c r="M13" s="15" t="s">
        <v>43</v>
      </c>
      <c r="N13" s="15" t="s">
        <v>193</v>
      </c>
      <c r="O13" s="14" t="s">
        <v>36</v>
      </c>
      <c r="P13" s="14" t="s">
        <v>89</v>
      </c>
      <c r="Q13" s="14" t="s">
        <v>124</v>
      </c>
      <c r="R13" s="14" t="s">
        <v>194</v>
      </c>
      <c r="S13" s="15" t="s">
        <v>139</v>
      </c>
    </row>
    <row r="14" customFormat="false" ht="75" hidden="false" customHeight="true" outlineLevel="0" collapsed="false">
      <c r="A14" s="12" t="s">
        <v>195</v>
      </c>
      <c r="B14" s="12" t="s">
        <v>20</v>
      </c>
      <c r="C14" s="13" t="s">
        <v>20</v>
      </c>
      <c r="D14" s="13" t="s">
        <v>196</v>
      </c>
      <c r="E14" s="12" t="s">
        <v>23</v>
      </c>
      <c r="F14" s="12" t="s">
        <v>15</v>
      </c>
      <c r="G14" s="12" t="s">
        <v>33</v>
      </c>
      <c r="H14" s="13" t="s">
        <v>55</v>
      </c>
      <c r="I14" s="13" t="s">
        <v>128</v>
      </c>
      <c r="J14" s="13" t="s">
        <v>197</v>
      </c>
      <c r="K14" s="13" t="s">
        <v>198</v>
      </c>
      <c r="L14" s="13" t="s">
        <v>199</v>
      </c>
      <c r="M14" s="13" t="s">
        <v>43</v>
      </c>
      <c r="N14" s="13" t="s">
        <v>200</v>
      </c>
      <c r="O14" s="12" t="s">
        <v>36</v>
      </c>
      <c r="P14" s="12" t="s">
        <v>89</v>
      </c>
      <c r="Q14" s="12" t="s">
        <v>124</v>
      </c>
      <c r="R14" s="12" t="s">
        <v>201</v>
      </c>
      <c r="S14" s="13" t="s">
        <v>139</v>
      </c>
    </row>
    <row r="15" customFormat="false" ht="75" hidden="false" customHeight="true" outlineLevel="0" collapsed="false">
      <c r="A15" s="14" t="s">
        <v>202</v>
      </c>
      <c r="B15" s="14" t="s">
        <v>20</v>
      </c>
      <c r="C15" s="15" t="s">
        <v>20</v>
      </c>
      <c r="D15" s="15" t="s">
        <v>203</v>
      </c>
      <c r="E15" s="14" t="s">
        <v>24</v>
      </c>
      <c r="F15" s="14" t="s">
        <v>14</v>
      </c>
      <c r="G15" s="14" t="s">
        <v>32</v>
      </c>
      <c r="H15" s="15" t="s">
        <v>55</v>
      </c>
      <c r="I15" s="15" t="s">
        <v>128</v>
      </c>
      <c r="J15" s="15" t="s">
        <v>204</v>
      </c>
      <c r="K15" s="15" t="s">
        <v>205</v>
      </c>
      <c r="L15" s="15" t="s">
        <v>206</v>
      </c>
      <c r="M15" s="15" t="s">
        <v>18</v>
      </c>
      <c r="N15" s="15" t="s">
        <v>207</v>
      </c>
      <c r="O15" s="14" t="s">
        <v>34</v>
      </c>
      <c r="P15" s="14" t="s">
        <v>89</v>
      </c>
      <c r="Q15" s="14" t="s">
        <v>124</v>
      </c>
      <c r="R15" s="14"/>
      <c r="S15" s="15" t="s">
        <v>139</v>
      </c>
    </row>
    <row r="16" customFormat="false" ht="61.5" hidden="false" customHeight="true" outlineLevel="0" collapsed="false">
      <c r="A16" s="12" t="s">
        <v>208</v>
      </c>
      <c r="B16" s="12" t="s">
        <v>20</v>
      </c>
      <c r="C16" s="13" t="s">
        <v>20</v>
      </c>
      <c r="D16" s="13" t="s">
        <v>209</v>
      </c>
      <c r="E16" s="12" t="s">
        <v>23</v>
      </c>
      <c r="F16" s="12" t="s">
        <v>15</v>
      </c>
      <c r="G16" s="12" t="s">
        <v>33</v>
      </c>
      <c r="H16" s="13" t="s">
        <v>55</v>
      </c>
      <c r="I16" s="13" t="s">
        <v>119</v>
      </c>
      <c r="J16" s="13" t="s">
        <v>210</v>
      </c>
      <c r="K16" s="13" t="s">
        <v>211</v>
      </c>
      <c r="L16" s="13" t="s">
        <v>212</v>
      </c>
      <c r="M16" s="13" t="s">
        <v>18</v>
      </c>
      <c r="N16" s="13" t="s">
        <v>213</v>
      </c>
      <c r="O16" s="12" t="s">
        <v>34</v>
      </c>
      <c r="P16" s="12" t="s">
        <v>89</v>
      </c>
      <c r="Q16" s="12" t="s">
        <v>124</v>
      </c>
      <c r="R16" s="12"/>
      <c r="S16" s="13" t="s">
        <v>125</v>
      </c>
    </row>
    <row r="17" customFormat="false" ht="75" hidden="false" customHeight="true" outlineLevel="0" collapsed="false">
      <c r="A17" s="14" t="s">
        <v>214</v>
      </c>
      <c r="B17" s="14" t="s">
        <v>20</v>
      </c>
      <c r="C17" s="15" t="s">
        <v>20</v>
      </c>
      <c r="D17" s="15" t="s">
        <v>215</v>
      </c>
      <c r="E17" s="14" t="s">
        <v>23</v>
      </c>
      <c r="F17" s="14" t="s">
        <v>16</v>
      </c>
      <c r="G17" s="14" t="s">
        <v>33</v>
      </c>
      <c r="H17" s="15" t="s">
        <v>55</v>
      </c>
      <c r="I17" s="15" t="s">
        <v>119</v>
      </c>
      <c r="J17" s="15" t="s">
        <v>216</v>
      </c>
      <c r="K17" s="15" t="s">
        <v>217</v>
      </c>
      <c r="L17" s="15" t="s">
        <v>218</v>
      </c>
      <c r="M17" s="15" t="s">
        <v>18</v>
      </c>
      <c r="N17" s="15" t="s">
        <v>219</v>
      </c>
      <c r="O17" s="14" t="s">
        <v>34</v>
      </c>
      <c r="P17" s="14" t="s">
        <v>89</v>
      </c>
      <c r="Q17" s="14" t="s">
        <v>124</v>
      </c>
      <c r="R17" s="14"/>
      <c r="S17" s="15" t="s">
        <v>139</v>
      </c>
    </row>
    <row r="18" customFormat="false" ht="61.5" hidden="false" customHeight="true" outlineLevel="0" collapsed="false">
      <c r="A18" s="12" t="s">
        <v>220</v>
      </c>
      <c r="B18" s="12" t="s">
        <v>20</v>
      </c>
      <c r="C18" s="13" t="s">
        <v>20</v>
      </c>
      <c r="D18" s="13" t="s">
        <v>221</v>
      </c>
      <c r="E18" s="12" t="s">
        <v>24</v>
      </c>
      <c r="F18" s="12" t="s">
        <v>14</v>
      </c>
      <c r="G18" s="12" t="s">
        <v>32</v>
      </c>
      <c r="H18" s="13" t="s">
        <v>55</v>
      </c>
      <c r="I18" s="13" t="s">
        <v>119</v>
      </c>
      <c r="J18" s="13" t="s">
        <v>222</v>
      </c>
      <c r="K18" s="13" t="s">
        <v>223</v>
      </c>
      <c r="L18" s="13" t="s">
        <v>224</v>
      </c>
      <c r="M18" s="13" t="s">
        <v>18</v>
      </c>
      <c r="N18" s="13" t="s">
        <v>225</v>
      </c>
      <c r="O18" s="12" t="s">
        <v>34</v>
      </c>
      <c r="P18" s="12" t="s">
        <v>89</v>
      </c>
      <c r="Q18" s="12" t="s">
        <v>124</v>
      </c>
      <c r="R18" s="12"/>
      <c r="S18" s="13" t="s">
        <v>226</v>
      </c>
    </row>
    <row r="19" customFormat="false" ht="75" hidden="false" customHeight="true" outlineLevel="0" collapsed="false">
      <c r="A19" s="14" t="s">
        <v>227</v>
      </c>
      <c r="B19" s="14" t="s">
        <v>20</v>
      </c>
      <c r="C19" s="15" t="s">
        <v>20</v>
      </c>
      <c r="D19" s="15" t="s">
        <v>228</v>
      </c>
      <c r="E19" s="14" t="s">
        <v>24</v>
      </c>
      <c r="F19" s="14" t="s">
        <v>14</v>
      </c>
      <c r="G19" s="14" t="s">
        <v>32</v>
      </c>
      <c r="H19" s="15" t="s">
        <v>55</v>
      </c>
      <c r="I19" s="15" t="s">
        <v>229</v>
      </c>
      <c r="J19" s="15" t="s">
        <v>230</v>
      </c>
      <c r="K19" s="15" t="s">
        <v>157</v>
      </c>
      <c r="L19" s="15" t="s">
        <v>231</v>
      </c>
      <c r="M19" s="15" t="s">
        <v>43</v>
      </c>
      <c r="N19" s="15" t="s">
        <v>232</v>
      </c>
      <c r="O19" s="14" t="s">
        <v>36</v>
      </c>
      <c r="P19" s="14" t="s">
        <v>89</v>
      </c>
      <c r="Q19" s="14" t="s">
        <v>124</v>
      </c>
      <c r="R19" s="14" t="s">
        <v>233</v>
      </c>
      <c r="S19" s="15" t="s">
        <v>226</v>
      </c>
    </row>
    <row r="20" customFormat="false" ht="61.5" hidden="false" customHeight="true" outlineLevel="0" collapsed="false">
      <c r="A20" s="12" t="s">
        <v>234</v>
      </c>
      <c r="B20" s="12" t="s">
        <v>20</v>
      </c>
      <c r="C20" s="13" t="s">
        <v>20</v>
      </c>
      <c r="D20" s="13" t="s">
        <v>235</v>
      </c>
      <c r="E20" s="12" t="s">
        <v>23</v>
      </c>
      <c r="F20" s="12" t="s">
        <v>15</v>
      </c>
      <c r="G20" s="12" t="s">
        <v>33</v>
      </c>
      <c r="H20" s="13" t="s">
        <v>55</v>
      </c>
      <c r="I20" s="13" t="s">
        <v>128</v>
      </c>
      <c r="J20" s="13" t="s">
        <v>236</v>
      </c>
      <c r="K20" s="13" t="s">
        <v>151</v>
      </c>
      <c r="L20" s="13" t="s">
        <v>237</v>
      </c>
      <c r="M20" s="13" t="s">
        <v>43</v>
      </c>
      <c r="N20" s="13" t="s">
        <v>238</v>
      </c>
      <c r="O20" s="12" t="s">
        <v>36</v>
      </c>
      <c r="P20" s="12" t="s">
        <v>89</v>
      </c>
      <c r="Q20" s="12" t="s">
        <v>124</v>
      </c>
      <c r="R20" s="12" t="s">
        <v>239</v>
      </c>
      <c r="S20" s="13" t="s">
        <v>139</v>
      </c>
    </row>
    <row r="21" customFormat="false" ht="75" hidden="false" customHeight="true" outlineLevel="0" collapsed="false">
      <c r="A21" s="14" t="s">
        <v>240</v>
      </c>
      <c r="B21" s="14" t="s">
        <v>20</v>
      </c>
      <c r="C21" s="15" t="s">
        <v>20</v>
      </c>
      <c r="D21" s="15" t="s">
        <v>241</v>
      </c>
      <c r="E21" s="14" t="s">
        <v>26</v>
      </c>
      <c r="F21" s="14" t="s">
        <v>13</v>
      </c>
      <c r="G21" s="14" t="s">
        <v>33</v>
      </c>
      <c r="H21" s="15" t="s">
        <v>55</v>
      </c>
      <c r="I21" s="15" t="s">
        <v>128</v>
      </c>
      <c r="J21" s="15" t="s">
        <v>242</v>
      </c>
      <c r="K21" s="15" t="s">
        <v>151</v>
      </c>
      <c r="L21" s="15" t="s">
        <v>243</v>
      </c>
      <c r="M21" s="15" t="s">
        <v>43</v>
      </c>
      <c r="N21" s="15" t="s">
        <v>244</v>
      </c>
      <c r="O21" s="14" t="s">
        <v>36</v>
      </c>
      <c r="P21" s="14" t="s">
        <v>89</v>
      </c>
      <c r="Q21" s="14" t="s">
        <v>124</v>
      </c>
      <c r="R21" s="14" t="s">
        <v>245</v>
      </c>
      <c r="S21" s="15" t="s">
        <v>139</v>
      </c>
    </row>
    <row r="22" customFormat="false" ht="61.5" hidden="false" customHeight="true" outlineLevel="0" collapsed="false">
      <c r="A22" s="12" t="s">
        <v>246</v>
      </c>
      <c r="B22" s="12" t="s">
        <v>20</v>
      </c>
      <c r="C22" s="13" t="s">
        <v>20</v>
      </c>
      <c r="D22" s="13" t="s">
        <v>247</v>
      </c>
      <c r="E22" s="12" t="s">
        <v>26</v>
      </c>
      <c r="F22" s="12" t="s">
        <v>15</v>
      </c>
      <c r="G22" s="12" t="s">
        <v>33</v>
      </c>
      <c r="H22" s="13" t="s">
        <v>55</v>
      </c>
      <c r="I22" s="13" t="s">
        <v>119</v>
      </c>
      <c r="J22" s="13" t="s">
        <v>248</v>
      </c>
      <c r="K22" s="13" t="s">
        <v>249</v>
      </c>
      <c r="L22" s="13" t="s">
        <v>250</v>
      </c>
      <c r="M22" s="13" t="s">
        <v>43</v>
      </c>
      <c r="N22" s="13" t="s">
        <v>251</v>
      </c>
      <c r="O22" s="12" t="s">
        <v>36</v>
      </c>
      <c r="P22" s="12" t="s">
        <v>89</v>
      </c>
      <c r="Q22" s="12" t="s">
        <v>124</v>
      </c>
      <c r="R22" s="12" t="s">
        <v>252</v>
      </c>
      <c r="S22" s="13" t="s">
        <v>139</v>
      </c>
    </row>
    <row r="23" customFormat="false" ht="100.5" hidden="false" customHeight="true" outlineLevel="0" collapsed="false">
      <c r="A23" s="14" t="s">
        <v>253</v>
      </c>
      <c r="B23" s="14" t="s">
        <v>20</v>
      </c>
      <c r="C23" s="15" t="s">
        <v>20</v>
      </c>
      <c r="D23" s="15" t="s">
        <v>254</v>
      </c>
      <c r="E23" s="14" t="s">
        <v>26</v>
      </c>
      <c r="F23" s="14" t="s">
        <v>13</v>
      </c>
      <c r="G23" s="14" t="s">
        <v>32</v>
      </c>
      <c r="H23" s="15" t="s">
        <v>51</v>
      </c>
      <c r="I23" s="15" t="s">
        <v>255</v>
      </c>
      <c r="J23" s="15" t="s">
        <v>256</v>
      </c>
      <c r="K23" s="15" t="s">
        <v>151</v>
      </c>
      <c r="L23" s="15" t="s">
        <v>257</v>
      </c>
      <c r="M23" s="15" t="s">
        <v>18</v>
      </c>
      <c r="N23" s="15" t="s">
        <v>258</v>
      </c>
      <c r="O23" s="14" t="s">
        <v>34</v>
      </c>
      <c r="P23" s="14" t="s">
        <v>89</v>
      </c>
      <c r="Q23" s="14" t="s">
        <v>259</v>
      </c>
      <c r="R23" s="14"/>
      <c r="S23" s="15" t="s">
        <v>139</v>
      </c>
    </row>
    <row r="24" customFormat="false" ht="36" hidden="false" customHeight="true" outlineLevel="0" collapsed="false">
      <c r="A24" s="12" t="s">
        <v>260</v>
      </c>
      <c r="B24" s="12" t="s">
        <v>20</v>
      </c>
      <c r="C24" s="13" t="s">
        <v>261</v>
      </c>
      <c r="D24" s="13" t="s">
        <v>262</v>
      </c>
      <c r="E24" s="12" t="s">
        <v>23</v>
      </c>
      <c r="F24" s="12" t="s">
        <v>13</v>
      </c>
      <c r="G24" s="12" t="s">
        <v>31</v>
      </c>
      <c r="H24" s="13" t="s">
        <v>53</v>
      </c>
      <c r="I24" s="13" t="s">
        <v>263</v>
      </c>
      <c r="J24" s="13" t="s">
        <v>264</v>
      </c>
      <c r="K24" s="13" t="s">
        <v>136</v>
      </c>
      <c r="L24" s="13" t="s">
        <v>265</v>
      </c>
      <c r="M24" s="13" t="s">
        <v>18</v>
      </c>
      <c r="N24" s="13" t="s">
        <v>266</v>
      </c>
      <c r="O24" s="12" t="s">
        <v>34</v>
      </c>
      <c r="P24" s="12" t="s">
        <v>89</v>
      </c>
      <c r="Q24" s="12" t="s">
        <v>146</v>
      </c>
      <c r="R24" s="12"/>
      <c r="S24" s="13" t="s">
        <v>267</v>
      </c>
    </row>
    <row r="25" customFormat="false" ht="61.5" hidden="false" customHeight="true" outlineLevel="0" collapsed="false">
      <c r="A25" s="14" t="s">
        <v>268</v>
      </c>
      <c r="B25" s="14" t="s">
        <v>20</v>
      </c>
      <c r="C25" s="15" t="s">
        <v>261</v>
      </c>
      <c r="D25" s="15" t="s">
        <v>269</v>
      </c>
      <c r="E25" s="14" t="s">
        <v>23</v>
      </c>
      <c r="F25" s="14" t="s">
        <v>13</v>
      </c>
      <c r="G25" s="14" t="s">
        <v>32</v>
      </c>
      <c r="H25" s="15" t="s">
        <v>53</v>
      </c>
      <c r="I25" s="15" t="s">
        <v>263</v>
      </c>
      <c r="J25" s="15" t="s">
        <v>270</v>
      </c>
      <c r="K25" s="15" t="s">
        <v>136</v>
      </c>
      <c r="L25" s="15" t="s">
        <v>271</v>
      </c>
      <c r="M25" s="15" t="s">
        <v>45</v>
      </c>
      <c r="N25" s="15" t="s">
        <v>272</v>
      </c>
      <c r="O25" s="14" t="s">
        <v>34</v>
      </c>
      <c r="P25" s="14" t="s">
        <v>86</v>
      </c>
      <c r="Q25" s="14" t="s">
        <v>273</v>
      </c>
      <c r="R25" s="14"/>
      <c r="S25" s="15" t="s">
        <v>274</v>
      </c>
    </row>
    <row r="26" customFormat="false" ht="61.5" hidden="false" customHeight="true" outlineLevel="0" collapsed="false">
      <c r="A26" s="12" t="s">
        <v>275</v>
      </c>
      <c r="B26" s="12" t="s">
        <v>20</v>
      </c>
      <c r="C26" s="13" t="s">
        <v>261</v>
      </c>
      <c r="D26" s="13" t="s">
        <v>276</v>
      </c>
      <c r="E26" s="12" t="s">
        <v>24</v>
      </c>
      <c r="F26" s="12" t="s">
        <v>14</v>
      </c>
      <c r="G26" s="12" t="s">
        <v>32</v>
      </c>
      <c r="H26" s="13" t="s">
        <v>55</v>
      </c>
      <c r="I26" s="13" t="s">
        <v>263</v>
      </c>
      <c r="J26" s="13" t="s">
        <v>277</v>
      </c>
      <c r="K26" s="13" t="s">
        <v>278</v>
      </c>
      <c r="L26" s="13" t="s">
        <v>279</v>
      </c>
      <c r="M26" s="13" t="s">
        <v>18</v>
      </c>
      <c r="N26" s="13" t="s">
        <v>280</v>
      </c>
      <c r="O26" s="12" t="s">
        <v>34</v>
      </c>
      <c r="P26" s="12" t="s">
        <v>89</v>
      </c>
      <c r="Q26" s="12" t="s">
        <v>124</v>
      </c>
      <c r="R26" s="12"/>
      <c r="S26" s="13" t="s">
        <v>226</v>
      </c>
    </row>
    <row r="27" customFormat="false" ht="48.75" hidden="false" customHeight="true" outlineLevel="0" collapsed="false">
      <c r="A27" s="14" t="s">
        <v>281</v>
      </c>
      <c r="B27" s="14" t="s">
        <v>20</v>
      </c>
      <c r="C27" s="15" t="s">
        <v>261</v>
      </c>
      <c r="D27" s="15" t="s">
        <v>282</v>
      </c>
      <c r="E27" s="14" t="s">
        <v>24</v>
      </c>
      <c r="F27" s="14" t="s">
        <v>14</v>
      </c>
      <c r="G27" s="14" t="s">
        <v>31</v>
      </c>
      <c r="H27" s="15" t="s">
        <v>55</v>
      </c>
      <c r="I27" s="15" t="s">
        <v>263</v>
      </c>
      <c r="J27" s="15" t="s">
        <v>283</v>
      </c>
      <c r="K27" s="15" t="s">
        <v>136</v>
      </c>
      <c r="L27" s="15" t="s">
        <v>284</v>
      </c>
      <c r="M27" s="15" t="s">
        <v>43</v>
      </c>
      <c r="N27" s="15" t="s">
        <v>285</v>
      </c>
      <c r="O27" s="14" t="s">
        <v>36</v>
      </c>
      <c r="P27" s="14" t="s">
        <v>89</v>
      </c>
      <c r="Q27" s="14" t="s">
        <v>124</v>
      </c>
      <c r="R27" s="14" t="s">
        <v>286</v>
      </c>
      <c r="S27" s="15" t="s">
        <v>287</v>
      </c>
    </row>
    <row r="28" customFormat="false" ht="48.75" hidden="false" customHeight="true" outlineLevel="0" collapsed="false">
      <c r="A28" s="12" t="s">
        <v>288</v>
      </c>
      <c r="B28" s="12" t="s">
        <v>20</v>
      </c>
      <c r="C28" s="13" t="s">
        <v>261</v>
      </c>
      <c r="D28" s="13" t="s">
        <v>289</v>
      </c>
      <c r="E28" s="12" t="s">
        <v>24</v>
      </c>
      <c r="F28" s="12" t="s">
        <v>14</v>
      </c>
      <c r="G28" s="12" t="s">
        <v>32</v>
      </c>
      <c r="H28" s="13" t="s">
        <v>55</v>
      </c>
      <c r="I28" s="13" t="s">
        <v>263</v>
      </c>
      <c r="J28" s="13" t="s">
        <v>290</v>
      </c>
      <c r="K28" s="13" t="s">
        <v>136</v>
      </c>
      <c r="L28" s="13" t="s">
        <v>291</v>
      </c>
      <c r="M28" s="13" t="s">
        <v>43</v>
      </c>
      <c r="N28" s="13" t="s">
        <v>292</v>
      </c>
      <c r="O28" s="12" t="s">
        <v>36</v>
      </c>
      <c r="P28" s="12" t="s">
        <v>89</v>
      </c>
      <c r="Q28" s="12" t="s">
        <v>124</v>
      </c>
      <c r="R28" s="12" t="s">
        <v>293</v>
      </c>
      <c r="S28" s="13" t="s">
        <v>287</v>
      </c>
    </row>
    <row r="29" customFormat="false" ht="75" hidden="false" customHeight="true" outlineLevel="0" collapsed="false">
      <c r="A29" s="14" t="s">
        <v>294</v>
      </c>
      <c r="B29" s="14" t="s">
        <v>20</v>
      </c>
      <c r="C29" s="15" t="s">
        <v>261</v>
      </c>
      <c r="D29" s="15" t="s">
        <v>295</v>
      </c>
      <c r="E29" s="14" t="s">
        <v>24</v>
      </c>
      <c r="F29" s="14" t="s">
        <v>13</v>
      </c>
      <c r="G29" s="14" t="s">
        <v>32</v>
      </c>
      <c r="H29" s="15" t="s">
        <v>55</v>
      </c>
      <c r="I29" s="15" t="s">
        <v>128</v>
      </c>
      <c r="J29" s="15" t="s">
        <v>296</v>
      </c>
      <c r="K29" s="15" t="s">
        <v>136</v>
      </c>
      <c r="L29" s="15" t="s">
        <v>297</v>
      </c>
      <c r="M29" s="15" t="s">
        <v>18</v>
      </c>
      <c r="N29" s="15" t="s">
        <v>298</v>
      </c>
      <c r="O29" s="14" t="s">
        <v>34</v>
      </c>
      <c r="P29" s="14" t="s">
        <v>89</v>
      </c>
      <c r="Q29" s="14" t="s">
        <v>124</v>
      </c>
      <c r="R29" s="14"/>
      <c r="S29" s="15" t="s">
        <v>226</v>
      </c>
    </row>
    <row r="30" customFormat="false" ht="75" hidden="false" customHeight="true" outlineLevel="0" collapsed="false">
      <c r="A30" s="12" t="s">
        <v>299</v>
      </c>
      <c r="B30" s="12" t="s">
        <v>20</v>
      </c>
      <c r="C30" s="13" t="s">
        <v>261</v>
      </c>
      <c r="D30" s="13" t="s">
        <v>300</v>
      </c>
      <c r="E30" s="12" t="s">
        <v>24</v>
      </c>
      <c r="F30" s="12" t="s">
        <v>14</v>
      </c>
      <c r="G30" s="12" t="s">
        <v>32</v>
      </c>
      <c r="H30" s="13" t="s">
        <v>55</v>
      </c>
      <c r="I30" s="13" t="s">
        <v>128</v>
      </c>
      <c r="J30" s="13" t="s">
        <v>301</v>
      </c>
      <c r="K30" s="13" t="s">
        <v>136</v>
      </c>
      <c r="L30" s="13" t="s">
        <v>302</v>
      </c>
      <c r="M30" s="13" t="s">
        <v>43</v>
      </c>
      <c r="N30" s="13" t="s">
        <v>303</v>
      </c>
      <c r="O30" s="12" t="s">
        <v>36</v>
      </c>
      <c r="P30" s="12" t="s">
        <v>89</v>
      </c>
      <c r="Q30" s="12" t="s">
        <v>124</v>
      </c>
      <c r="R30" s="12" t="s">
        <v>304</v>
      </c>
      <c r="S30" s="13" t="s">
        <v>226</v>
      </c>
    </row>
    <row r="31" customFormat="false" ht="48.75" hidden="false" customHeight="true" outlineLevel="0" collapsed="false">
      <c r="A31" s="14" t="s">
        <v>305</v>
      </c>
      <c r="B31" s="14" t="s">
        <v>20</v>
      </c>
      <c r="C31" s="15" t="s">
        <v>306</v>
      </c>
      <c r="D31" s="15" t="s">
        <v>307</v>
      </c>
      <c r="E31" s="14" t="s">
        <v>23</v>
      </c>
      <c r="F31" s="14" t="s">
        <v>13</v>
      </c>
      <c r="G31" s="14" t="s">
        <v>31</v>
      </c>
      <c r="H31" s="15" t="s">
        <v>53</v>
      </c>
      <c r="I31" s="15" t="s">
        <v>263</v>
      </c>
      <c r="J31" s="15" t="s">
        <v>308</v>
      </c>
      <c r="K31" s="15" t="s">
        <v>136</v>
      </c>
      <c r="L31" s="15" t="s">
        <v>309</v>
      </c>
      <c r="M31" s="15" t="s">
        <v>18</v>
      </c>
      <c r="N31" s="15" t="s">
        <v>310</v>
      </c>
      <c r="O31" s="14" t="s">
        <v>34</v>
      </c>
      <c r="P31" s="14" t="s">
        <v>89</v>
      </c>
      <c r="Q31" s="14" t="s">
        <v>146</v>
      </c>
      <c r="R31" s="14"/>
      <c r="S31" s="15" t="s">
        <v>267</v>
      </c>
    </row>
    <row r="32" customFormat="false" ht="61.5" hidden="false" customHeight="true" outlineLevel="0" collapsed="false">
      <c r="A32" s="12" t="s">
        <v>311</v>
      </c>
      <c r="B32" s="12" t="s">
        <v>20</v>
      </c>
      <c r="C32" s="13" t="s">
        <v>306</v>
      </c>
      <c r="D32" s="13" t="s">
        <v>312</v>
      </c>
      <c r="E32" s="12" t="s">
        <v>24</v>
      </c>
      <c r="F32" s="12" t="s">
        <v>15</v>
      </c>
      <c r="G32" s="12" t="s">
        <v>32</v>
      </c>
      <c r="H32" s="13" t="s">
        <v>55</v>
      </c>
      <c r="I32" s="13" t="s">
        <v>263</v>
      </c>
      <c r="J32" s="13" t="s">
        <v>313</v>
      </c>
      <c r="K32" s="13" t="s">
        <v>136</v>
      </c>
      <c r="L32" s="13" t="s">
        <v>314</v>
      </c>
      <c r="M32" s="13" t="s">
        <v>18</v>
      </c>
      <c r="N32" s="13" t="s">
        <v>315</v>
      </c>
      <c r="O32" s="12" t="s">
        <v>34</v>
      </c>
      <c r="P32" s="12" t="s">
        <v>89</v>
      </c>
      <c r="Q32" s="12" t="s">
        <v>124</v>
      </c>
      <c r="R32" s="12"/>
      <c r="S32" s="13" t="s">
        <v>267</v>
      </c>
    </row>
    <row r="33" customFormat="false" ht="48.75" hidden="false" customHeight="true" outlineLevel="0" collapsed="false">
      <c r="A33" s="14" t="s">
        <v>316</v>
      </c>
      <c r="B33" s="14" t="s">
        <v>20</v>
      </c>
      <c r="C33" s="15" t="s">
        <v>20</v>
      </c>
      <c r="D33" s="15" t="s">
        <v>317</v>
      </c>
      <c r="E33" s="14" t="s">
        <v>25</v>
      </c>
      <c r="F33" s="14" t="s">
        <v>13</v>
      </c>
      <c r="G33" s="14" t="s">
        <v>32</v>
      </c>
      <c r="H33" s="15" t="s">
        <v>53</v>
      </c>
      <c r="I33" s="15" t="s">
        <v>318</v>
      </c>
      <c r="J33" s="15" t="s">
        <v>319</v>
      </c>
      <c r="K33" s="15" t="s">
        <v>320</v>
      </c>
      <c r="L33" s="15" t="s">
        <v>321</v>
      </c>
      <c r="M33" s="15" t="s">
        <v>18</v>
      </c>
      <c r="N33" s="15" t="s">
        <v>322</v>
      </c>
      <c r="O33" s="14" t="s">
        <v>34</v>
      </c>
      <c r="P33" s="14" t="s">
        <v>89</v>
      </c>
      <c r="Q33" s="14" t="s">
        <v>323</v>
      </c>
      <c r="R33" s="14"/>
      <c r="S33" s="15" t="s">
        <v>324</v>
      </c>
    </row>
    <row r="34" customFormat="false" ht="48.75" hidden="false" customHeight="true" outlineLevel="0" collapsed="false">
      <c r="A34" s="12" t="s">
        <v>325</v>
      </c>
      <c r="B34" s="12" t="s">
        <v>20</v>
      </c>
      <c r="C34" s="13" t="s">
        <v>20</v>
      </c>
      <c r="D34" s="13" t="s">
        <v>326</v>
      </c>
      <c r="E34" s="12" t="s">
        <v>25</v>
      </c>
      <c r="F34" s="12" t="s">
        <v>14</v>
      </c>
      <c r="G34" s="12" t="s">
        <v>32</v>
      </c>
      <c r="H34" s="13" t="s">
        <v>53</v>
      </c>
      <c r="I34" s="13" t="s">
        <v>318</v>
      </c>
      <c r="J34" s="13" t="s">
        <v>319</v>
      </c>
      <c r="K34" s="13" t="s">
        <v>327</v>
      </c>
      <c r="L34" s="13" t="s">
        <v>328</v>
      </c>
      <c r="M34" s="13" t="s">
        <v>18</v>
      </c>
      <c r="N34" s="13" t="s">
        <v>329</v>
      </c>
      <c r="O34" s="12" t="s">
        <v>34</v>
      </c>
      <c r="P34" s="12" t="s">
        <v>89</v>
      </c>
      <c r="Q34" s="12" t="s">
        <v>323</v>
      </c>
      <c r="R34" s="12"/>
      <c r="S34" s="13" t="s">
        <v>324</v>
      </c>
    </row>
    <row r="35" customFormat="false" ht="48.75" hidden="false" customHeight="true" outlineLevel="0" collapsed="false">
      <c r="A35" s="14" t="s">
        <v>330</v>
      </c>
      <c r="B35" s="14" t="s">
        <v>20</v>
      </c>
      <c r="C35" s="15" t="s">
        <v>261</v>
      </c>
      <c r="D35" s="15" t="s">
        <v>331</v>
      </c>
      <c r="E35" s="14" t="s">
        <v>25</v>
      </c>
      <c r="F35" s="14" t="s">
        <v>14</v>
      </c>
      <c r="G35" s="14" t="s">
        <v>33</v>
      </c>
      <c r="H35" s="15" t="s">
        <v>55</v>
      </c>
      <c r="I35" s="15" t="s">
        <v>136</v>
      </c>
      <c r="J35" s="15" t="s">
        <v>332</v>
      </c>
      <c r="K35" s="15" t="s">
        <v>333</v>
      </c>
      <c r="L35" s="15" t="s">
        <v>334</v>
      </c>
      <c r="M35" s="15" t="s">
        <v>43</v>
      </c>
      <c r="N35" s="15" t="s">
        <v>335</v>
      </c>
      <c r="O35" s="14" t="s">
        <v>36</v>
      </c>
      <c r="P35" s="14" t="s">
        <v>89</v>
      </c>
      <c r="Q35" s="14" t="s">
        <v>323</v>
      </c>
      <c r="R35" s="14" t="s">
        <v>336</v>
      </c>
      <c r="S35" s="15" t="s">
        <v>324</v>
      </c>
    </row>
    <row r="36" customFormat="false" ht="48.75" hidden="false" customHeight="true" outlineLevel="0" collapsed="false">
      <c r="A36" s="12" t="s">
        <v>337</v>
      </c>
      <c r="B36" s="12" t="s">
        <v>21</v>
      </c>
      <c r="C36" s="13" t="s">
        <v>338</v>
      </c>
      <c r="D36" s="13" t="s">
        <v>339</v>
      </c>
      <c r="E36" s="12" t="s">
        <v>23</v>
      </c>
      <c r="F36" s="12" t="s">
        <v>13</v>
      </c>
      <c r="G36" s="12" t="s">
        <v>32</v>
      </c>
      <c r="H36" s="13" t="s">
        <v>53</v>
      </c>
      <c r="I36" s="13" t="s">
        <v>136</v>
      </c>
      <c r="J36" s="13" t="s">
        <v>340</v>
      </c>
      <c r="K36" s="13" t="s">
        <v>341</v>
      </c>
      <c r="L36" s="13" t="s">
        <v>342</v>
      </c>
      <c r="M36" s="13" t="s">
        <v>45</v>
      </c>
      <c r="N36" s="13" t="s">
        <v>343</v>
      </c>
      <c r="O36" s="12" t="s">
        <v>34</v>
      </c>
      <c r="P36" s="12" t="s">
        <v>86</v>
      </c>
      <c r="Q36" s="12" t="s">
        <v>273</v>
      </c>
      <c r="R36" s="12"/>
      <c r="S36" s="13" t="s">
        <v>274</v>
      </c>
    </row>
    <row r="37" customFormat="false" ht="114" hidden="false" customHeight="true" outlineLevel="0" collapsed="false">
      <c r="A37" s="14" t="s">
        <v>344</v>
      </c>
      <c r="B37" s="14" t="s">
        <v>21</v>
      </c>
      <c r="C37" s="15" t="s">
        <v>338</v>
      </c>
      <c r="D37" s="15" t="s">
        <v>345</v>
      </c>
      <c r="E37" s="14" t="s">
        <v>23</v>
      </c>
      <c r="F37" s="14" t="s">
        <v>13</v>
      </c>
      <c r="G37" s="14" t="s">
        <v>31</v>
      </c>
      <c r="H37" s="15" t="s">
        <v>55</v>
      </c>
      <c r="I37" s="15" t="s">
        <v>346</v>
      </c>
      <c r="J37" s="15" t="s">
        <v>347</v>
      </c>
      <c r="K37" s="15" t="s">
        <v>348</v>
      </c>
      <c r="L37" s="15" t="s">
        <v>349</v>
      </c>
      <c r="M37" s="15" t="s">
        <v>45</v>
      </c>
      <c r="N37" s="15" t="s">
        <v>350</v>
      </c>
      <c r="O37" s="14" t="s">
        <v>34</v>
      </c>
      <c r="P37" s="14" t="s">
        <v>86</v>
      </c>
      <c r="Q37" s="14" t="s">
        <v>273</v>
      </c>
      <c r="R37" s="14"/>
      <c r="S37" s="15" t="s">
        <v>274</v>
      </c>
    </row>
    <row r="38" customFormat="false" ht="61.5" hidden="false" customHeight="true" outlineLevel="0" collapsed="false">
      <c r="A38" s="12" t="s">
        <v>351</v>
      </c>
      <c r="B38" s="12" t="s">
        <v>21</v>
      </c>
      <c r="C38" s="13" t="s">
        <v>338</v>
      </c>
      <c r="D38" s="13" t="s">
        <v>352</v>
      </c>
      <c r="E38" s="12" t="s">
        <v>23</v>
      </c>
      <c r="F38" s="12" t="s">
        <v>14</v>
      </c>
      <c r="G38" s="12" t="s">
        <v>33</v>
      </c>
      <c r="H38" s="13" t="s">
        <v>55</v>
      </c>
      <c r="I38" s="13" t="s">
        <v>136</v>
      </c>
      <c r="J38" s="13" t="s">
        <v>353</v>
      </c>
      <c r="K38" s="13" t="s">
        <v>354</v>
      </c>
      <c r="L38" s="13" t="s">
        <v>355</v>
      </c>
      <c r="M38" s="13" t="s">
        <v>45</v>
      </c>
      <c r="N38" s="13" t="s">
        <v>356</v>
      </c>
      <c r="O38" s="12" t="s">
        <v>36</v>
      </c>
      <c r="P38" s="12" t="s">
        <v>86</v>
      </c>
      <c r="Q38" s="12" t="s">
        <v>273</v>
      </c>
      <c r="R38" s="12" t="s">
        <v>357</v>
      </c>
      <c r="S38" s="13" t="s">
        <v>274</v>
      </c>
    </row>
    <row r="39" customFormat="false" ht="61.5" hidden="false" customHeight="true" outlineLevel="0" collapsed="false">
      <c r="A39" s="14" t="s">
        <v>358</v>
      </c>
      <c r="B39" s="14" t="s">
        <v>21</v>
      </c>
      <c r="C39" s="15" t="s">
        <v>338</v>
      </c>
      <c r="D39" s="15" t="s">
        <v>359</v>
      </c>
      <c r="E39" s="14" t="s">
        <v>23</v>
      </c>
      <c r="F39" s="14" t="s">
        <v>14</v>
      </c>
      <c r="G39" s="14" t="s">
        <v>33</v>
      </c>
      <c r="H39" s="15" t="s">
        <v>55</v>
      </c>
      <c r="I39" s="15" t="s">
        <v>136</v>
      </c>
      <c r="J39" s="15" t="s">
        <v>360</v>
      </c>
      <c r="K39" s="15" t="s">
        <v>136</v>
      </c>
      <c r="L39" s="15" t="s">
        <v>361</v>
      </c>
      <c r="M39" s="15" t="s">
        <v>47</v>
      </c>
      <c r="N39" s="15" t="s">
        <v>362</v>
      </c>
      <c r="O39" s="14" t="s">
        <v>36</v>
      </c>
      <c r="P39" s="14" t="s">
        <v>86</v>
      </c>
      <c r="Q39" s="14" t="s">
        <v>273</v>
      </c>
      <c r="R39" s="14" t="s">
        <v>363</v>
      </c>
      <c r="S39" s="15" t="s">
        <v>364</v>
      </c>
    </row>
    <row r="40" customFormat="false" ht="75" hidden="false" customHeight="true" outlineLevel="0" collapsed="false">
      <c r="A40" s="12" t="s">
        <v>365</v>
      </c>
      <c r="B40" s="12" t="s">
        <v>21</v>
      </c>
      <c r="C40" s="13" t="s">
        <v>338</v>
      </c>
      <c r="D40" s="13" t="s">
        <v>366</v>
      </c>
      <c r="E40" s="12" t="s">
        <v>23</v>
      </c>
      <c r="F40" s="12" t="s">
        <v>13</v>
      </c>
      <c r="G40" s="12" t="s">
        <v>32</v>
      </c>
      <c r="H40" s="13" t="s">
        <v>53</v>
      </c>
      <c r="I40" s="13" t="s">
        <v>346</v>
      </c>
      <c r="J40" s="13" t="s">
        <v>367</v>
      </c>
      <c r="K40" s="13" t="s">
        <v>368</v>
      </c>
      <c r="L40" s="13" t="s">
        <v>369</v>
      </c>
      <c r="M40" s="13" t="s">
        <v>18</v>
      </c>
      <c r="N40" s="13" t="s">
        <v>370</v>
      </c>
      <c r="O40" s="12" t="s">
        <v>34</v>
      </c>
      <c r="P40" s="12" t="s">
        <v>89</v>
      </c>
      <c r="Q40" s="12" t="s">
        <v>124</v>
      </c>
      <c r="R40" s="12"/>
      <c r="S40" s="13" t="s">
        <v>371</v>
      </c>
    </row>
    <row r="41" customFormat="false" ht="75" hidden="false" customHeight="true" outlineLevel="0" collapsed="false">
      <c r="A41" s="14" t="s">
        <v>372</v>
      </c>
      <c r="B41" s="14" t="s">
        <v>21</v>
      </c>
      <c r="C41" s="15" t="s">
        <v>373</v>
      </c>
      <c r="D41" s="15" t="s">
        <v>374</v>
      </c>
      <c r="E41" s="14" t="s">
        <v>23</v>
      </c>
      <c r="F41" s="14" t="s">
        <v>13</v>
      </c>
      <c r="G41" s="14" t="s">
        <v>31</v>
      </c>
      <c r="H41" s="15" t="s">
        <v>51</v>
      </c>
      <c r="I41" s="15" t="s">
        <v>346</v>
      </c>
      <c r="J41" s="15" t="s">
        <v>375</v>
      </c>
      <c r="K41" s="15" t="s">
        <v>376</v>
      </c>
      <c r="L41" s="15" t="s">
        <v>377</v>
      </c>
      <c r="M41" s="15" t="s">
        <v>18</v>
      </c>
      <c r="N41" s="15" t="s">
        <v>378</v>
      </c>
      <c r="O41" s="14" t="s">
        <v>34</v>
      </c>
      <c r="P41" s="14" t="s">
        <v>89</v>
      </c>
      <c r="Q41" s="14" t="s">
        <v>146</v>
      </c>
      <c r="R41" s="14" t="s">
        <v>379</v>
      </c>
      <c r="S41" s="15" t="s">
        <v>371</v>
      </c>
    </row>
    <row r="42" customFormat="false" ht="75" hidden="false" customHeight="true" outlineLevel="0" collapsed="false">
      <c r="A42" s="12" t="s">
        <v>380</v>
      </c>
      <c r="B42" s="12" t="s">
        <v>21</v>
      </c>
      <c r="C42" s="13" t="s">
        <v>373</v>
      </c>
      <c r="D42" s="13" t="s">
        <v>381</v>
      </c>
      <c r="E42" s="12" t="s">
        <v>23</v>
      </c>
      <c r="F42" s="12" t="s">
        <v>13</v>
      </c>
      <c r="G42" s="12" t="s">
        <v>32</v>
      </c>
      <c r="H42" s="13" t="s">
        <v>53</v>
      </c>
      <c r="I42" s="13" t="s">
        <v>382</v>
      </c>
      <c r="J42" s="13" t="s">
        <v>383</v>
      </c>
      <c r="K42" s="13" t="s">
        <v>384</v>
      </c>
      <c r="L42" s="13" t="s">
        <v>385</v>
      </c>
      <c r="M42" s="13" t="s">
        <v>18</v>
      </c>
      <c r="N42" s="13" t="s">
        <v>386</v>
      </c>
      <c r="O42" s="12" t="s">
        <v>34</v>
      </c>
      <c r="P42" s="12" t="s">
        <v>89</v>
      </c>
      <c r="Q42" s="12" t="s">
        <v>124</v>
      </c>
      <c r="R42" s="12" t="s">
        <v>379</v>
      </c>
      <c r="S42" s="13" t="s">
        <v>371</v>
      </c>
    </row>
    <row r="43" customFormat="false" ht="61.5" hidden="false" customHeight="true" outlineLevel="0" collapsed="false">
      <c r="A43" s="14" t="s">
        <v>387</v>
      </c>
      <c r="B43" s="14" t="s">
        <v>21</v>
      </c>
      <c r="C43" s="15" t="s">
        <v>373</v>
      </c>
      <c r="D43" s="15" t="s">
        <v>388</v>
      </c>
      <c r="E43" s="14" t="s">
        <v>23</v>
      </c>
      <c r="F43" s="14" t="s">
        <v>13</v>
      </c>
      <c r="G43" s="14" t="s">
        <v>31</v>
      </c>
      <c r="H43" s="15" t="s">
        <v>53</v>
      </c>
      <c r="I43" s="15" t="s">
        <v>346</v>
      </c>
      <c r="J43" s="15" t="s">
        <v>389</v>
      </c>
      <c r="K43" s="15" t="s">
        <v>390</v>
      </c>
      <c r="L43" s="15" t="s">
        <v>391</v>
      </c>
      <c r="M43" s="15" t="s">
        <v>18</v>
      </c>
      <c r="N43" s="15" t="s">
        <v>392</v>
      </c>
      <c r="O43" s="14" t="s">
        <v>34</v>
      </c>
      <c r="P43" s="14" t="s">
        <v>89</v>
      </c>
      <c r="Q43" s="14" t="s">
        <v>124</v>
      </c>
      <c r="R43" s="14"/>
      <c r="S43" s="15" t="s">
        <v>371</v>
      </c>
    </row>
    <row r="44" customFormat="false" ht="61.5" hidden="false" customHeight="true" outlineLevel="0" collapsed="false">
      <c r="A44" s="12" t="s">
        <v>393</v>
      </c>
      <c r="B44" s="12" t="s">
        <v>21</v>
      </c>
      <c r="C44" s="13" t="s">
        <v>373</v>
      </c>
      <c r="D44" s="13" t="s">
        <v>394</v>
      </c>
      <c r="E44" s="12" t="s">
        <v>23</v>
      </c>
      <c r="F44" s="12" t="s">
        <v>15</v>
      </c>
      <c r="G44" s="12" t="s">
        <v>32</v>
      </c>
      <c r="H44" s="13" t="s">
        <v>53</v>
      </c>
      <c r="I44" s="13" t="s">
        <v>346</v>
      </c>
      <c r="J44" s="13" t="s">
        <v>395</v>
      </c>
      <c r="K44" s="13" t="s">
        <v>396</v>
      </c>
      <c r="L44" s="13" t="s">
        <v>397</v>
      </c>
      <c r="M44" s="13" t="s">
        <v>45</v>
      </c>
      <c r="N44" s="13" t="s">
        <v>398</v>
      </c>
      <c r="O44" s="12" t="s">
        <v>34</v>
      </c>
      <c r="P44" s="12" t="s">
        <v>86</v>
      </c>
      <c r="Q44" s="12" t="s">
        <v>273</v>
      </c>
      <c r="R44" s="12"/>
      <c r="S44" s="13" t="s">
        <v>274</v>
      </c>
    </row>
    <row r="45" customFormat="false" ht="61.5" hidden="false" customHeight="true" outlineLevel="0" collapsed="false">
      <c r="A45" s="14" t="s">
        <v>399</v>
      </c>
      <c r="B45" s="14" t="s">
        <v>21</v>
      </c>
      <c r="C45" s="15" t="s">
        <v>373</v>
      </c>
      <c r="D45" s="15" t="s">
        <v>400</v>
      </c>
      <c r="E45" s="14" t="s">
        <v>23</v>
      </c>
      <c r="F45" s="14" t="s">
        <v>13</v>
      </c>
      <c r="G45" s="14" t="s">
        <v>32</v>
      </c>
      <c r="H45" s="15" t="s">
        <v>55</v>
      </c>
      <c r="I45" s="15" t="s">
        <v>346</v>
      </c>
      <c r="J45" s="15" t="s">
        <v>401</v>
      </c>
      <c r="K45" s="15" t="s">
        <v>402</v>
      </c>
      <c r="L45" s="15" t="s">
        <v>403</v>
      </c>
      <c r="M45" s="15" t="s">
        <v>45</v>
      </c>
      <c r="N45" s="15" t="s">
        <v>404</v>
      </c>
      <c r="O45" s="14" t="s">
        <v>36</v>
      </c>
      <c r="P45" s="14" t="s">
        <v>86</v>
      </c>
      <c r="Q45" s="14" t="s">
        <v>273</v>
      </c>
      <c r="R45" s="14" t="s">
        <v>405</v>
      </c>
      <c r="S45" s="15" t="s">
        <v>274</v>
      </c>
    </row>
    <row r="46" customFormat="false" ht="75" hidden="false" customHeight="true" outlineLevel="0" collapsed="false">
      <c r="A46" s="12" t="s">
        <v>406</v>
      </c>
      <c r="B46" s="12" t="s">
        <v>21</v>
      </c>
      <c r="C46" s="13" t="s">
        <v>373</v>
      </c>
      <c r="D46" s="13" t="s">
        <v>407</v>
      </c>
      <c r="E46" s="12" t="s">
        <v>23</v>
      </c>
      <c r="F46" s="12" t="s">
        <v>15</v>
      </c>
      <c r="G46" s="12" t="s">
        <v>33</v>
      </c>
      <c r="H46" s="13" t="s">
        <v>55</v>
      </c>
      <c r="I46" s="13" t="s">
        <v>346</v>
      </c>
      <c r="J46" s="13" t="s">
        <v>408</v>
      </c>
      <c r="K46" s="13" t="s">
        <v>409</v>
      </c>
      <c r="L46" s="13" t="s">
        <v>410</v>
      </c>
      <c r="M46" s="13" t="s">
        <v>47</v>
      </c>
      <c r="N46" s="13"/>
      <c r="O46" s="12" t="s">
        <v>38</v>
      </c>
      <c r="P46" s="12"/>
      <c r="Q46" s="12"/>
      <c r="R46" s="12"/>
      <c r="S46" s="13" t="s">
        <v>411</v>
      </c>
    </row>
    <row r="47" customFormat="false" ht="36" hidden="false" customHeight="true" outlineLevel="0" collapsed="false">
      <c r="A47" s="14" t="s">
        <v>412</v>
      </c>
      <c r="B47" s="14" t="s">
        <v>21</v>
      </c>
      <c r="C47" s="15" t="s">
        <v>413</v>
      </c>
      <c r="D47" s="15" t="s">
        <v>414</v>
      </c>
      <c r="E47" s="14" t="s">
        <v>26</v>
      </c>
      <c r="F47" s="14" t="s">
        <v>15</v>
      </c>
      <c r="G47" s="14" t="s">
        <v>33</v>
      </c>
      <c r="H47" s="15" t="s">
        <v>55</v>
      </c>
      <c r="I47" s="15" t="s">
        <v>346</v>
      </c>
      <c r="J47" s="15" t="s">
        <v>415</v>
      </c>
      <c r="K47" s="15" t="s">
        <v>136</v>
      </c>
      <c r="L47" s="15" t="s">
        <v>416</v>
      </c>
      <c r="M47" s="15" t="s">
        <v>45</v>
      </c>
      <c r="N47" s="15" t="s">
        <v>417</v>
      </c>
      <c r="O47" s="14" t="s">
        <v>36</v>
      </c>
      <c r="P47" s="14" t="s">
        <v>86</v>
      </c>
      <c r="Q47" s="14" t="s">
        <v>273</v>
      </c>
      <c r="R47" s="14" t="s">
        <v>418</v>
      </c>
      <c r="S47" s="15" t="s">
        <v>274</v>
      </c>
    </row>
    <row r="48" customFormat="false" ht="48.75" hidden="false" customHeight="true" outlineLevel="0" collapsed="false">
      <c r="A48" s="12" t="s">
        <v>419</v>
      </c>
      <c r="B48" s="12" t="s">
        <v>21</v>
      </c>
      <c r="C48" s="13" t="s">
        <v>413</v>
      </c>
      <c r="D48" s="13" t="s">
        <v>420</v>
      </c>
      <c r="E48" s="12" t="s">
        <v>23</v>
      </c>
      <c r="F48" s="12" t="s">
        <v>13</v>
      </c>
      <c r="G48" s="12" t="s">
        <v>31</v>
      </c>
      <c r="H48" s="13" t="s">
        <v>53</v>
      </c>
      <c r="I48" s="13" t="s">
        <v>421</v>
      </c>
      <c r="J48" s="13" t="s">
        <v>422</v>
      </c>
      <c r="K48" s="13" t="s">
        <v>423</v>
      </c>
      <c r="L48" s="13" t="s">
        <v>424</v>
      </c>
      <c r="M48" s="13" t="s">
        <v>18</v>
      </c>
      <c r="N48" s="13" t="s">
        <v>425</v>
      </c>
      <c r="O48" s="12" t="s">
        <v>34</v>
      </c>
      <c r="P48" s="12" t="s">
        <v>89</v>
      </c>
      <c r="Q48" s="12" t="s">
        <v>124</v>
      </c>
      <c r="R48" s="12"/>
      <c r="S48" s="13" t="s">
        <v>426</v>
      </c>
    </row>
    <row r="49" customFormat="false" ht="48.75" hidden="false" customHeight="true" outlineLevel="0" collapsed="false">
      <c r="A49" s="14" t="s">
        <v>427</v>
      </c>
      <c r="B49" s="14" t="s">
        <v>21</v>
      </c>
      <c r="C49" s="15" t="s">
        <v>413</v>
      </c>
      <c r="D49" s="15" t="s">
        <v>428</v>
      </c>
      <c r="E49" s="14" t="s">
        <v>23</v>
      </c>
      <c r="F49" s="14" t="s">
        <v>13</v>
      </c>
      <c r="G49" s="14" t="s">
        <v>32</v>
      </c>
      <c r="H49" s="15" t="s">
        <v>53</v>
      </c>
      <c r="I49" s="15" t="s">
        <v>429</v>
      </c>
      <c r="J49" s="15" t="s">
        <v>430</v>
      </c>
      <c r="K49" s="15" t="s">
        <v>136</v>
      </c>
      <c r="L49" s="15" t="s">
        <v>431</v>
      </c>
      <c r="M49" s="15" t="s">
        <v>18</v>
      </c>
      <c r="N49" s="15" t="s">
        <v>432</v>
      </c>
      <c r="O49" s="14" t="s">
        <v>34</v>
      </c>
      <c r="P49" s="14" t="s">
        <v>89</v>
      </c>
      <c r="Q49" s="14" t="s">
        <v>124</v>
      </c>
      <c r="R49" s="14"/>
      <c r="S49" s="15" t="s">
        <v>426</v>
      </c>
    </row>
    <row r="50" customFormat="false" ht="61.5" hidden="false" customHeight="true" outlineLevel="0" collapsed="false">
      <c r="A50" s="12" t="s">
        <v>433</v>
      </c>
      <c r="B50" s="12" t="s">
        <v>21</v>
      </c>
      <c r="C50" s="13" t="s">
        <v>413</v>
      </c>
      <c r="D50" s="13" t="s">
        <v>434</v>
      </c>
      <c r="E50" s="12" t="s">
        <v>23</v>
      </c>
      <c r="F50" s="12" t="s">
        <v>13</v>
      </c>
      <c r="G50" s="12" t="s">
        <v>32</v>
      </c>
      <c r="H50" s="13" t="s">
        <v>53</v>
      </c>
      <c r="I50" s="13" t="s">
        <v>435</v>
      </c>
      <c r="J50" s="13" t="s">
        <v>436</v>
      </c>
      <c r="K50" s="13" t="s">
        <v>423</v>
      </c>
      <c r="L50" s="13" t="s">
        <v>437</v>
      </c>
      <c r="M50" s="13" t="s">
        <v>45</v>
      </c>
      <c r="N50" s="13" t="s">
        <v>438</v>
      </c>
      <c r="O50" s="12" t="s">
        <v>34</v>
      </c>
      <c r="P50" s="12" t="s">
        <v>86</v>
      </c>
      <c r="Q50" s="12" t="s">
        <v>273</v>
      </c>
      <c r="R50" s="12"/>
      <c r="S50" s="13" t="s">
        <v>274</v>
      </c>
    </row>
    <row r="51" customFormat="false" ht="61.5" hidden="false" customHeight="true" outlineLevel="0" collapsed="false">
      <c r="A51" s="14" t="s">
        <v>439</v>
      </c>
      <c r="B51" s="14" t="s">
        <v>21</v>
      </c>
      <c r="C51" s="15" t="s">
        <v>413</v>
      </c>
      <c r="D51" s="15" t="s">
        <v>440</v>
      </c>
      <c r="E51" s="14" t="s">
        <v>23</v>
      </c>
      <c r="F51" s="14" t="s">
        <v>16</v>
      </c>
      <c r="G51" s="14" t="s">
        <v>33</v>
      </c>
      <c r="H51" s="15" t="s">
        <v>53</v>
      </c>
      <c r="I51" s="15" t="s">
        <v>346</v>
      </c>
      <c r="J51" s="15" t="s">
        <v>441</v>
      </c>
      <c r="K51" s="15" t="s">
        <v>442</v>
      </c>
      <c r="L51" s="15" t="s">
        <v>443</v>
      </c>
      <c r="M51" s="15" t="s">
        <v>18</v>
      </c>
      <c r="N51" s="15" t="s">
        <v>444</v>
      </c>
      <c r="O51" s="14" t="s">
        <v>34</v>
      </c>
      <c r="P51" s="14" t="s">
        <v>89</v>
      </c>
      <c r="Q51" s="14" t="s">
        <v>124</v>
      </c>
      <c r="R51" s="14"/>
      <c r="S51" s="15" t="s">
        <v>426</v>
      </c>
    </row>
    <row r="52" customFormat="false" ht="48.75" hidden="false" customHeight="true" outlineLevel="0" collapsed="false">
      <c r="A52" s="12" t="s">
        <v>445</v>
      </c>
      <c r="B52" s="12" t="s">
        <v>21</v>
      </c>
      <c r="C52" s="13" t="s">
        <v>413</v>
      </c>
      <c r="D52" s="13" t="s">
        <v>446</v>
      </c>
      <c r="E52" s="12" t="s">
        <v>23</v>
      </c>
      <c r="F52" s="12" t="s">
        <v>13</v>
      </c>
      <c r="G52" s="12" t="s">
        <v>32</v>
      </c>
      <c r="H52" s="13" t="s">
        <v>53</v>
      </c>
      <c r="I52" s="13" t="s">
        <v>447</v>
      </c>
      <c r="J52" s="13" t="s">
        <v>448</v>
      </c>
      <c r="K52" s="13" t="s">
        <v>136</v>
      </c>
      <c r="L52" s="13" t="s">
        <v>449</v>
      </c>
      <c r="M52" s="13" t="s">
        <v>45</v>
      </c>
      <c r="N52" s="13" t="s">
        <v>450</v>
      </c>
      <c r="O52" s="12" t="s">
        <v>34</v>
      </c>
      <c r="P52" s="12" t="s">
        <v>86</v>
      </c>
      <c r="Q52" s="12" t="s">
        <v>273</v>
      </c>
      <c r="R52" s="12"/>
      <c r="S52" s="13" t="s">
        <v>274</v>
      </c>
    </row>
    <row r="53" customFormat="false" ht="48.75" hidden="false" customHeight="true" outlineLevel="0" collapsed="false">
      <c r="A53" s="14" t="s">
        <v>451</v>
      </c>
      <c r="B53" s="14" t="s">
        <v>21</v>
      </c>
      <c r="C53" s="15" t="s">
        <v>413</v>
      </c>
      <c r="D53" s="15" t="s">
        <v>452</v>
      </c>
      <c r="E53" s="14" t="s">
        <v>26</v>
      </c>
      <c r="F53" s="14" t="s">
        <v>13</v>
      </c>
      <c r="G53" s="14" t="s">
        <v>33</v>
      </c>
      <c r="H53" s="15" t="s">
        <v>51</v>
      </c>
      <c r="I53" s="15" t="s">
        <v>453</v>
      </c>
      <c r="J53" s="15" t="s">
        <v>454</v>
      </c>
      <c r="K53" s="15" t="s">
        <v>136</v>
      </c>
      <c r="L53" s="15" t="s">
        <v>455</v>
      </c>
      <c r="M53" s="15" t="s">
        <v>18</v>
      </c>
      <c r="N53" s="15" t="s">
        <v>456</v>
      </c>
      <c r="O53" s="14" t="s">
        <v>34</v>
      </c>
      <c r="P53" s="14" t="s">
        <v>89</v>
      </c>
      <c r="Q53" s="14" t="s">
        <v>259</v>
      </c>
      <c r="R53" s="14"/>
      <c r="S53" s="15" t="s">
        <v>426</v>
      </c>
    </row>
    <row r="54" customFormat="false" ht="139.5" hidden="false" customHeight="true" outlineLevel="0" collapsed="false">
      <c r="A54" s="12" t="s">
        <v>457</v>
      </c>
      <c r="B54" s="12" t="s">
        <v>21</v>
      </c>
      <c r="C54" s="13" t="s">
        <v>413</v>
      </c>
      <c r="D54" s="13" t="s">
        <v>458</v>
      </c>
      <c r="E54" s="12" t="s">
        <v>27</v>
      </c>
      <c r="F54" s="12" t="s">
        <v>13</v>
      </c>
      <c r="G54" s="12" t="s">
        <v>33</v>
      </c>
      <c r="H54" s="13" t="s">
        <v>55</v>
      </c>
      <c r="I54" s="13" t="s">
        <v>459</v>
      </c>
      <c r="J54" s="13" t="s">
        <v>460</v>
      </c>
      <c r="K54" s="13" t="s">
        <v>136</v>
      </c>
      <c r="L54" s="13" t="s">
        <v>461</v>
      </c>
      <c r="M54" s="13" t="s">
        <v>18</v>
      </c>
      <c r="N54" s="13" t="s">
        <v>462</v>
      </c>
      <c r="O54" s="12" t="s">
        <v>34</v>
      </c>
      <c r="P54" s="12" t="s">
        <v>89</v>
      </c>
      <c r="Q54" s="12" t="s">
        <v>463</v>
      </c>
      <c r="R54" s="12"/>
      <c r="S54" s="13" t="s">
        <v>464</v>
      </c>
    </row>
    <row r="55" customFormat="false" ht="61.5" hidden="false" customHeight="true" outlineLevel="0" collapsed="false">
      <c r="A55" s="14" t="s">
        <v>465</v>
      </c>
      <c r="B55" s="14" t="s">
        <v>21</v>
      </c>
      <c r="C55" s="15" t="s">
        <v>466</v>
      </c>
      <c r="D55" s="15" t="s">
        <v>467</v>
      </c>
      <c r="E55" s="14" t="s">
        <v>23</v>
      </c>
      <c r="F55" s="14" t="s">
        <v>13</v>
      </c>
      <c r="G55" s="14" t="s">
        <v>32</v>
      </c>
      <c r="H55" s="15" t="s">
        <v>53</v>
      </c>
      <c r="I55" s="15" t="s">
        <v>468</v>
      </c>
      <c r="J55" s="15" t="s">
        <v>469</v>
      </c>
      <c r="K55" s="15" t="s">
        <v>136</v>
      </c>
      <c r="L55" s="15" t="s">
        <v>470</v>
      </c>
      <c r="M55" s="15" t="s">
        <v>18</v>
      </c>
      <c r="N55" s="15" t="s">
        <v>471</v>
      </c>
      <c r="O55" s="14" t="s">
        <v>34</v>
      </c>
      <c r="P55" s="14" t="s">
        <v>89</v>
      </c>
      <c r="Q55" s="14" t="s">
        <v>124</v>
      </c>
      <c r="R55" s="14"/>
      <c r="S55" s="15" t="s">
        <v>472</v>
      </c>
    </row>
    <row r="56" customFormat="false" ht="48.75" hidden="false" customHeight="true" outlineLevel="0" collapsed="false">
      <c r="A56" s="12" t="s">
        <v>473</v>
      </c>
      <c r="B56" s="12" t="s">
        <v>21</v>
      </c>
      <c r="C56" s="13" t="s">
        <v>466</v>
      </c>
      <c r="D56" s="13" t="s">
        <v>474</v>
      </c>
      <c r="E56" s="12" t="s">
        <v>24</v>
      </c>
      <c r="F56" s="12" t="s">
        <v>14</v>
      </c>
      <c r="G56" s="12" t="s">
        <v>32</v>
      </c>
      <c r="H56" s="13" t="s">
        <v>53</v>
      </c>
      <c r="I56" s="13" t="s">
        <v>447</v>
      </c>
      <c r="J56" s="13" t="s">
        <v>475</v>
      </c>
      <c r="K56" s="13" t="s">
        <v>136</v>
      </c>
      <c r="L56" s="13" t="s">
        <v>476</v>
      </c>
      <c r="M56" s="13" t="s">
        <v>18</v>
      </c>
      <c r="N56" s="13" t="s">
        <v>477</v>
      </c>
      <c r="O56" s="12" t="s">
        <v>34</v>
      </c>
      <c r="P56" s="12" t="s">
        <v>89</v>
      </c>
      <c r="Q56" s="12" t="s">
        <v>124</v>
      </c>
      <c r="R56" s="12"/>
      <c r="S56" s="13" t="s">
        <v>472</v>
      </c>
    </row>
    <row r="57" customFormat="false" ht="75" hidden="false" customHeight="true" outlineLevel="0" collapsed="false">
      <c r="A57" s="14" t="s">
        <v>478</v>
      </c>
      <c r="B57" s="14" t="s">
        <v>21</v>
      </c>
      <c r="C57" s="15" t="s">
        <v>466</v>
      </c>
      <c r="D57" s="15" t="s">
        <v>479</v>
      </c>
      <c r="E57" s="14" t="s">
        <v>24</v>
      </c>
      <c r="F57" s="14" t="s">
        <v>14</v>
      </c>
      <c r="G57" s="14" t="s">
        <v>31</v>
      </c>
      <c r="H57" s="15" t="s">
        <v>55</v>
      </c>
      <c r="I57" s="15" t="s">
        <v>480</v>
      </c>
      <c r="J57" s="15" t="s">
        <v>481</v>
      </c>
      <c r="K57" s="15" t="s">
        <v>482</v>
      </c>
      <c r="L57" s="15" t="s">
        <v>483</v>
      </c>
      <c r="M57" s="15" t="s">
        <v>18</v>
      </c>
      <c r="N57" s="15" t="s">
        <v>484</v>
      </c>
      <c r="O57" s="14" t="s">
        <v>34</v>
      </c>
      <c r="P57" s="14" t="s">
        <v>89</v>
      </c>
      <c r="Q57" s="14" t="s">
        <v>124</v>
      </c>
      <c r="R57" s="14"/>
      <c r="S57" s="15" t="s">
        <v>472</v>
      </c>
    </row>
    <row r="58" customFormat="false" ht="61.5" hidden="false" customHeight="true" outlineLevel="0" collapsed="false">
      <c r="A58" s="12" t="s">
        <v>485</v>
      </c>
      <c r="B58" s="12" t="s">
        <v>21</v>
      </c>
      <c r="C58" s="13" t="s">
        <v>466</v>
      </c>
      <c r="D58" s="13" t="s">
        <v>486</v>
      </c>
      <c r="E58" s="12" t="s">
        <v>23</v>
      </c>
      <c r="F58" s="12" t="s">
        <v>15</v>
      </c>
      <c r="G58" s="12" t="s">
        <v>33</v>
      </c>
      <c r="H58" s="13" t="s">
        <v>55</v>
      </c>
      <c r="I58" s="13" t="s">
        <v>487</v>
      </c>
      <c r="J58" s="13" t="s">
        <v>488</v>
      </c>
      <c r="K58" s="13" t="s">
        <v>489</v>
      </c>
      <c r="L58" s="13" t="s">
        <v>490</v>
      </c>
      <c r="M58" s="13" t="s">
        <v>43</v>
      </c>
      <c r="N58" s="13" t="s">
        <v>491</v>
      </c>
      <c r="O58" s="12" t="s">
        <v>36</v>
      </c>
      <c r="P58" s="12" t="s">
        <v>89</v>
      </c>
      <c r="Q58" s="12" t="s">
        <v>124</v>
      </c>
      <c r="R58" s="12" t="s">
        <v>492</v>
      </c>
      <c r="S58" s="13" t="s">
        <v>472</v>
      </c>
    </row>
    <row r="59" customFormat="false" ht="48.75" hidden="false" customHeight="true" outlineLevel="0" collapsed="false">
      <c r="A59" s="14" t="s">
        <v>493</v>
      </c>
      <c r="B59" s="14" t="s">
        <v>21</v>
      </c>
      <c r="C59" s="15" t="s">
        <v>494</v>
      </c>
      <c r="D59" s="15" t="s">
        <v>495</v>
      </c>
      <c r="E59" s="14" t="s">
        <v>23</v>
      </c>
      <c r="F59" s="14" t="s">
        <v>13</v>
      </c>
      <c r="G59" s="14" t="s">
        <v>32</v>
      </c>
      <c r="H59" s="15" t="s">
        <v>53</v>
      </c>
      <c r="I59" s="15" t="s">
        <v>496</v>
      </c>
      <c r="J59" s="15" t="s">
        <v>497</v>
      </c>
      <c r="K59" s="15" t="s">
        <v>136</v>
      </c>
      <c r="L59" s="15" t="s">
        <v>498</v>
      </c>
      <c r="M59" s="15" t="s">
        <v>18</v>
      </c>
      <c r="N59" s="15" t="s">
        <v>499</v>
      </c>
      <c r="O59" s="14" t="s">
        <v>34</v>
      </c>
      <c r="P59" s="14" t="s">
        <v>89</v>
      </c>
      <c r="Q59" s="14" t="s">
        <v>124</v>
      </c>
      <c r="R59" s="14"/>
      <c r="S59" s="15" t="s">
        <v>500</v>
      </c>
    </row>
    <row r="60" customFormat="false" ht="165.75" hidden="false" customHeight="true" outlineLevel="0" collapsed="false">
      <c r="A60" s="12" t="s">
        <v>501</v>
      </c>
      <c r="B60" s="12" t="s">
        <v>21</v>
      </c>
      <c r="C60" s="13" t="s">
        <v>494</v>
      </c>
      <c r="D60" s="13" t="s">
        <v>502</v>
      </c>
      <c r="E60" s="12" t="s">
        <v>23</v>
      </c>
      <c r="F60" s="12" t="s">
        <v>13</v>
      </c>
      <c r="G60" s="12" t="s">
        <v>31</v>
      </c>
      <c r="H60" s="13" t="s">
        <v>51</v>
      </c>
      <c r="I60" s="13" t="s">
        <v>346</v>
      </c>
      <c r="J60" s="13" t="s">
        <v>503</v>
      </c>
      <c r="K60" s="13" t="s">
        <v>504</v>
      </c>
      <c r="L60" s="13" t="s">
        <v>505</v>
      </c>
      <c r="M60" s="13" t="s">
        <v>18</v>
      </c>
      <c r="N60" s="13" t="s">
        <v>506</v>
      </c>
      <c r="O60" s="12" t="s">
        <v>34</v>
      </c>
      <c r="P60" s="12" t="s">
        <v>89</v>
      </c>
      <c r="Q60" s="12" t="s">
        <v>146</v>
      </c>
      <c r="R60" s="12" t="s">
        <v>507</v>
      </c>
      <c r="S60" s="13" t="s">
        <v>500</v>
      </c>
    </row>
    <row r="61" customFormat="false" ht="114" hidden="false" customHeight="true" outlineLevel="0" collapsed="false">
      <c r="A61" s="14" t="s">
        <v>508</v>
      </c>
      <c r="B61" s="14" t="s">
        <v>21</v>
      </c>
      <c r="C61" s="15" t="s">
        <v>494</v>
      </c>
      <c r="D61" s="15" t="s">
        <v>509</v>
      </c>
      <c r="E61" s="14" t="s">
        <v>23</v>
      </c>
      <c r="F61" s="14" t="s">
        <v>13</v>
      </c>
      <c r="G61" s="14" t="s">
        <v>31</v>
      </c>
      <c r="H61" s="15" t="s">
        <v>53</v>
      </c>
      <c r="I61" s="15" t="s">
        <v>447</v>
      </c>
      <c r="J61" s="15" t="s">
        <v>510</v>
      </c>
      <c r="K61" s="15" t="s">
        <v>511</v>
      </c>
      <c r="L61" s="15" t="s">
        <v>512</v>
      </c>
      <c r="M61" s="15" t="s">
        <v>18</v>
      </c>
      <c r="N61" s="15" t="s">
        <v>513</v>
      </c>
      <c r="O61" s="14" t="s">
        <v>34</v>
      </c>
      <c r="P61" s="14" t="s">
        <v>89</v>
      </c>
      <c r="Q61" s="14" t="s">
        <v>124</v>
      </c>
      <c r="R61" s="14"/>
      <c r="S61" s="15" t="s">
        <v>500</v>
      </c>
    </row>
    <row r="62" customFormat="false" ht="114" hidden="false" customHeight="true" outlineLevel="0" collapsed="false">
      <c r="A62" s="12" t="s">
        <v>514</v>
      </c>
      <c r="B62" s="12" t="s">
        <v>21</v>
      </c>
      <c r="C62" s="13" t="s">
        <v>494</v>
      </c>
      <c r="D62" s="13" t="s">
        <v>515</v>
      </c>
      <c r="E62" s="12" t="s">
        <v>23</v>
      </c>
      <c r="F62" s="12" t="s">
        <v>13</v>
      </c>
      <c r="G62" s="12" t="s">
        <v>32</v>
      </c>
      <c r="H62" s="13" t="s">
        <v>55</v>
      </c>
      <c r="I62" s="13" t="s">
        <v>447</v>
      </c>
      <c r="J62" s="13" t="s">
        <v>516</v>
      </c>
      <c r="K62" s="13" t="s">
        <v>517</v>
      </c>
      <c r="L62" s="13" t="s">
        <v>518</v>
      </c>
      <c r="M62" s="13" t="s">
        <v>43</v>
      </c>
      <c r="N62" s="13" t="s">
        <v>519</v>
      </c>
      <c r="O62" s="12" t="s">
        <v>36</v>
      </c>
      <c r="P62" s="12" t="s">
        <v>89</v>
      </c>
      <c r="Q62" s="12" t="s">
        <v>124</v>
      </c>
      <c r="R62" s="12" t="s">
        <v>520</v>
      </c>
      <c r="S62" s="13" t="s">
        <v>500</v>
      </c>
    </row>
    <row r="63" customFormat="false" ht="114" hidden="false" customHeight="true" outlineLevel="0" collapsed="false">
      <c r="A63" s="14" t="s">
        <v>521</v>
      </c>
      <c r="B63" s="14" t="s">
        <v>21</v>
      </c>
      <c r="C63" s="15" t="s">
        <v>494</v>
      </c>
      <c r="D63" s="15" t="s">
        <v>522</v>
      </c>
      <c r="E63" s="14" t="s">
        <v>23</v>
      </c>
      <c r="F63" s="14" t="s">
        <v>13</v>
      </c>
      <c r="G63" s="14" t="s">
        <v>32</v>
      </c>
      <c r="H63" s="15" t="s">
        <v>53</v>
      </c>
      <c r="I63" s="15" t="s">
        <v>523</v>
      </c>
      <c r="J63" s="15" t="s">
        <v>524</v>
      </c>
      <c r="K63" s="15" t="s">
        <v>511</v>
      </c>
      <c r="L63" s="15" t="s">
        <v>525</v>
      </c>
      <c r="M63" s="15" t="s">
        <v>18</v>
      </c>
      <c r="N63" s="15" t="s">
        <v>526</v>
      </c>
      <c r="O63" s="14" t="s">
        <v>34</v>
      </c>
      <c r="P63" s="14" t="s">
        <v>89</v>
      </c>
      <c r="Q63" s="14" t="s">
        <v>124</v>
      </c>
      <c r="R63" s="14"/>
      <c r="S63" s="15" t="s">
        <v>500</v>
      </c>
    </row>
    <row r="64" customFormat="false" ht="87.75" hidden="false" customHeight="true" outlineLevel="0" collapsed="false">
      <c r="A64" s="12" t="s">
        <v>527</v>
      </c>
      <c r="B64" s="12" t="s">
        <v>21</v>
      </c>
      <c r="C64" s="13" t="s">
        <v>494</v>
      </c>
      <c r="D64" s="13" t="s">
        <v>528</v>
      </c>
      <c r="E64" s="12" t="s">
        <v>23</v>
      </c>
      <c r="F64" s="12" t="s">
        <v>14</v>
      </c>
      <c r="G64" s="12" t="s">
        <v>31</v>
      </c>
      <c r="H64" s="13" t="s">
        <v>55</v>
      </c>
      <c r="I64" s="13" t="s">
        <v>346</v>
      </c>
      <c r="J64" s="13" t="s">
        <v>529</v>
      </c>
      <c r="K64" s="13" t="s">
        <v>511</v>
      </c>
      <c r="L64" s="13" t="s">
        <v>530</v>
      </c>
      <c r="M64" s="13" t="s">
        <v>43</v>
      </c>
      <c r="N64" s="13" t="s">
        <v>531</v>
      </c>
      <c r="O64" s="12" t="s">
        <v>36</v>
      </c>
      <c r="P64" s="12" t="s">
        <v>89</v>
      </c>
      <c r="Q64" s="12" t="s">
        <v>124</v>
      </c>
      <c r="R64" s="12" t="s">
        <v>532</v>
      </c>
      <c r="S64" s="13" t="s">
        <v>500</v>
      </c>
    </row>
    <row r="65" customFormat="false" ht="61.5" hidden="false" customHeight="true" outlineLevel="0" collapsed="false">
      <c r="A65" s="14" t="s">
        <v>533</v>
      </c>
      <c r="B65" s="14" t="s">
        <v>21</v>
      </c>
      <c r="C65" s="15" t="s">
        <v>494</v>
      </c>
      <c r="D65" s="15" t="s">
        <v>534</v>
      </c>
      <c r="E65" s="14" t="s">
        <v>23</v>
      </c>
      <c r="F65" s="14" t="s">
        <v>15</v>
      </c>
      <c r="G65" s="14" t="s">
        <v>31</v>
      </c>
      <c r="H65" s="15" t="s">
        <v>55</v>
      </c>
      <c r="I65" s="15" t="s">
        <v>346</v>
      </c>
      <c r="J65" s="15" t="s">
        <v>535</v>
      </c>
      <c r="K65" s="15" t="s">
        <v>536</v>
      </c>
      <c r="L65" s="15" t="s">
        <v>537</v>
      </c>
      <c r="M65" s="15" t="s">
        <v>45</v>
      </c>
      <c r="N65" s="15" t="s">
        <v>538</v>
      </c>
      <c r="O65" s="14" t="s">
        <v>36</v>
      </c>
      <c r="P65" s="14" t="s">
        <v>86</v>
      </c>
      <c r="Q65" s="14" t="s">
        <v>273</v>
      </c>
      <c r="R65" s="14" t="s">
        <v>539</v>
      </c>
      <c r="S65" s="15" t="s">
        <v>274</v>
      </c>
    </row>
    <row r="66" customFormat="false" ht="75" hidden="false" customHeight="true" outlineLevel="0" collapsed="false">
      <c r="A66" s="12" t="s">
        <v>540</v>
      </c>
      <c r="B66" s="12" t="s">
        <v>21</v>
      </c>
      <c r="C66" s="13" t="s">
        <v>494</v>
      </c>
      <c r="D66" s="13" t="s">
        <v>541</v>
      </c>
      <c r="E66" s="12" t="s">
        <v>23</v>
      </c>
      <c r="F66" s="12" t="s">
        <v>13</v>
      </c>
      <c r="G66" s="12" t="s">
        <v>33</v>
      </c>
      <c r="H66" s="13" t="s">
        <v>53</v>
      </c>
      <c r="I66" s="13" t="s">
        <v>429</v>
      </c>
      <c r="J66" s="13" t="s">
        <v>542</v>
      </c>
      <c r="K66" s="13" t="s">
        <v>543</v>
      </c>
      <c r="L66" s="13" t="s">
        <v>544</v>
      </c>
      <c r="M66" s="13" t="s">
        <v>45</v>
      </c>
      <c r="N66" s="13" t="s">
        <v>545</v>
      </c>
      <c r="O66" s="12" t="s">
        <v>34</v>
      </c>
      <c r="P66" s="12" t="s">
        <v>86</v>
      </c>
      <c r="Q66" s="12" t="s">
        <v>273</v>
      </c>
      <c r="R66" s="12" t="s">
        <v>252</v>
      </c>
      <c r="S66" s="13" t="s">
        <v>274</v>
      </c>
    </row>
    <row r="67" customFormat="false" ht="75" hidden="false" customHeight="true" outlineLevel="0" collapsed="false">
      <c r="A67" s="14" t="s">
        <v>546</v>
      </c>
      <c r="B67" s="14" t="s">
        <v>21</v>
      </c>
      <c r="C67" s="15" t="s">
        <v>494</v>
      </c>
      <c r="D67" s="15" t="s">
        <v>547</v>
      </c>
      <c r="E67" s="14" t="s">
        <v>23</v>
      </c>
      <c r="F67" s="14" t="s">
        <v>14</v>
      </c>
      <c r="G67" s="14" t="s">
        <v>31</v>
      </c>
      <c r="H67" s="15" t="s">
        <v>53</v>
      </c>
      <c r="I67" s="15" t="s">
        <v>447</v>
      </c>
      <c r="J67" s="15" t="s">
        <v>548</v>
      </c>
      <c r="K67" s="15" t="s">
        <v>549</v>
      </c>
      <c r="L67" s="15" t="s">
        <v>550</v>
      </c>
      <c r="M67" s="15" t="s">
        <v>18</v>
      </c>
      <c r="N67" s="15" t="s">
        <v>551</v>
      </c>
      <c r="O67" s="14" t="s">
        <v>34</v>
      </c>
      <c r="P67" s="14" t="s">
        <v>89</v>
      </c>
      <c r="Q67" s="14" t="s">
        <v>124</v>
      </c>
      <c r="R67" s="14"/>
      <c r="S67" s="15" t="s">
        <v>552</v>
      </c>
    </row>
    <row r="68" customFormat="false" ht="75" hidden="false" customHeight="true" outlineLevel="0" collapsed="false">
      <c r="A68" s="12" t="s">
        <v>553</v>
      </c>
      <c r="B68" s="12" t="s">
        <v>21</v>
      </c>
      <c r="C68" s="13" t="s">
        <v>494</v>
      </c>
      <c r="D68" s="13" t="s">
        <v>554</v>
      </c>
      <c r="E68" s="12" t="s">
        <v>23</v>
      </c>
      <c r="F68" s="12" t="s">
        <v>14</v>
      </c>
      <c r="G68" s="12" t="s">
        <v>32</v>
      </c>
      <c r="H68" s="13" t="s">
        <v>53</v>
      </c>
      <c r="I68" s="13" t="s">
        <v>447</v>
      </c>
      <c r="J68" s="13" t="s">
        <v>555</v>
      </c>
      <c r="K68" s="13" t="s">
        <v>556</v>
      </c>
      <c r="L68" s="13" t="s">
        <v>550</v>
      </c>
      <c r="M68" s="13" t="s">
        <v>18</v>
      </c>
      <c r="N68" s="13" t="s">
        <v>551</v>
      </c>
      <c r="O68" s="12" t="s">
        <v>34</v>
      </c>
      <c r="P68" s="12" t="s">
        <v>89</v>
      </c>
      <c r="Q68" s="12" t="s">
        <v>124</v>
      </c>
      <c r="R68" s="12"/>
      <c r="S68" s="13" t="s">
        <v>552</v>
      </c>
    </row>
    <row r="69" customFormat="false" ht="75" hidden="false" customHeight="true" outlineLevel="0" collapsed="false">
      <c r="A69" s="14" t="s">
        <v>557</v>
      </c>
      <c r="B69" s="14" t="s">
        <v>21</v>
      </c>
      <c r="C69" s="15" t="s">
        <v>494</v>
      </c>
      <c r="D69" s="15" t="s">
        <v>558</v>
      </c>
      <c r="E69" s="14" t="s">
        <v>23</v>
      </c>
      <c r="F69" s="14" t="s">
        <v>14</v>
      </c>
      <c r="G69" s="14" t="s">
        <v>32</v>
      </c>
      <c r="H69" s="15" t="s">
        <v>53</v>
      </c>
      <c r="I69" s="15" t="s">
        <v>447</v>
      </c>
      <c r="J69" s="15" t="s">
        <v>559</v>
      </c>
      <c r="K69" s="15" t="s">
        <v>560</v>
      </c>
      <c r="L69" s="15" t="s">
        <v>550</v>
      </c>
      <c r="M69" s="15" t="s">
        <v>18</v>
      </c>
      <c r="N69" s="15" t="s">
        <v>551</v>
      </c>
      <c r="O69" s="14" t="s">
        <v>34</v>
      </c>
      <c r="P69" s="14" t="s">
        <v>89</v>
      </c>
      <c r="Q69" s="14" t="s">
        <v>124</v>
      </c>
      <c r="R69" s="14"/>
      <c r="S69" s="15" t="s">
        <v>552</v>
      </c>
    </row>
    <row r="70" customFormat="false" ht="75" hidden="false" customHeight="true" outlineLevel="0" collapsed="false">
      <c r="A70" s="12" t="s">
        <v>561</v>
      </c>
      <c r="B70" s="12" t="s">
        <v>21</v>
      </c>
      <c r="C70" s="13" t="s">
        <v>494</v>
      </c>
      <c r="D70" s="13" t="s">
        <v>562</v>
      </c>
      <c r="E70" s="12" t="s">
        <v>23</v>
      </c>
      <c r="F70" s="12" t="s">
        <v>14</v>
      </c>
      <c r="G70" s="12" t="s">
        <v>32</v>
      </c>
      <c r="H70" s="13" t="s">
        <v>55</v>
      </c>
      <c r="I70" s="13" t="s">
        <v>447</v>
      </c>
      <c r="J70" s="13" t="s">
        <v>563</v>
      </c>
      <c r="K70" s="13" t="s">
        <v>564</v>
      </c>
      <c r="L70" s="13" t="s">
        <v>565</v>
      </c>
      <c r="M70" s="13" t="s">
        <v>47</v>
      </c>
      <c r="N70" s="13" t="s">
        <v>566</v>
      </c>
      <c r="O70" s="12" t="s">
        <v>36</v>
      </c>
      <c r="P70" s="12" t="s">
        <v>86</v>
      </c>
      <c r="Q70" s="12" t="s">
        <v>273</v>
      </c>
      <c r="R70" s="12" t="s">
        <v>567</v>
      </c>
      <c r="S70" s="13" t="s">
        <v>568</v>
      </c>
    </row>
    <row r="71" customFormat="false" ht="75" hidden="false" customHeight="true" outlineLevel="0" collapsed="false">
      <c r="A71" s="14" t="s">
        <v>569</v>
      </c>
      <c r="B71" s="14" t="s">
        <v>21</v>
      </c>
      <c r="C71" s="15" t="s">
        <v>494</v>
      </c>
      <c r="D71" s="15" t="s">
        <v>570</v>
      </c>
      <c r="E71" s="14" t="s">
        <v>23</v>
      </c>
      <c r="F71" s="14" t="s">
        <v>14</v>
      </c>
      <c r="G71" s="14" t="s">
        <v>32</v>
      </c>
      <c r="H71" s="15" t="s">
        <v>55</v>
      </c>
      <c r="I71" s="15" t="s">
        <v>447</v>
      </c>
      <c r="J71" s="15" t="s">
        <v>571</v>
      </c>
      <c r="K71" s="15" t="s">
        <v>572</v>
      </c>
      <c r="L71" s="15" t="s">
        <v>573</v>
      </c>
      <c r="M71" s="15" t="s">
        <v>47</v>
      </c>
      <c r="N71" s="15" t="s">
        <v>574</v>
      </c>
      <c r="O71" s="14" t="s">
        <v>36</v>
      </c>
      <c r="P71" s="14" t="s">
        <v>86</v>
      </c>
      <c r="Q71" s="14" t="s">
        <v>273</v>
      </c>
      <c r="R71" s="14" t="s">
        <v>575</v>
      </c>
      <c r="S71" s="15" t="s">
        <v>568</v>
      </c>
    </row>
    <row r="72" customFormat="false" ht="75" hidden="false" customHeight="true" outlineLevel="0" collapsed="false">
      <c r="A72" s="12" t="s">
        <v>576</v>
      </c>
      <c r="B72" s="12" t="s">
        <v>21</v>
      </c>
      <c r="C72" s="13" t="s">
        <v>494</v>
      </c>
      <c r="D72" s="13" t="s">
        <v>577</v>
      </c>
      <c r="E72" s="12" t="s">
        <v>23</v>
      </c>
      <c r="F72" s="12" t="s">
        <v>16</v>
      </c>
      <c r="G72" s="12" t="s">
        <v>33</v>
      </c>
      <c r="H72" s="13" t="s">
        <v>55</v>
      </c>
      <c r="I72" s="13" t="s">
        <v>447</v>
      </c>
      <c r="J72" s="13" t="s">
        <v>571</v>
      </c>
      <c r="K72" s="13" t="s">
        <v>578</v>
      </c>
      <c r="L72" s="13" t="s">
        <v>573</v>
      </c>
      <c r="M72" s="13" t="s">
        <v>47</v>
      </c>
      <c r="N72" s="13" t="s">
        <v>579</v>
      </c>
      <c r="O72" s="12" t="s">
        <v>36</v>
      </c>
      <c r="P72" s="12" t="s">
        <v>86</v>
      </c>
      <c r="Q72" s="12" t="s">
        <v>273</v>
      </c>
      <c r="R72" s="12" t="s">
        <v>575</v>
      </c>
      <c r="S72" s="13" t="s">
        <v>568</v>
      </c>
    </row>
    <row r="73" customFormat="false" ht="75" hidden="false" customHeight="true" outlineLevel="0" collapsed="false">
      <c r="A73" s="14" t="s">
        <v>580</v>
      </c>
      <c r="B73" s="14" t="s">
        <v>21</v>
      </c>
      <c r="C73" s="15" t="s">
        <v>494</v>
      </c>
      <c r="D73" s="15" t="s">
        <v>581</v>
      </c>
      <c r="E73" s="14" t="s">
        <v>23</v>
      </c>
      <c r="F73" s="14" t="s">
        <v>16</v>
      </c>
      <c r="G73" s="14" t="s">
        <v>33</v>
      </c>
      <c r="H73" s="15" t="s">
        <v>55</v>
      </c>
      <c r="I73" s="15" t="s">
        <v>447</v>
      </c>
      <c r="J73" s="15" t="s">
        <v>582</v>
      </c>
      <c r="K73" s="15" t="s">
        <v>583</v>
      </c>
      <c r="L73" s="15" t="s">
        <v>584</v>
      </c>
      <c r="M73" s="15" t="s">
        <v>47</v>
      </c>
      <c r="N73" s="15" t="s">
        <v>585</v>
      </c>
      <c r="O73" s="14" t="s">
        <v>36</v>
      </c>
      <c r="P73" s="14" t="s">
        <v>86</v>
      </c>
      <c r="Q73" s="14" t="s">
        <v>273</v>
      </c>
      <c r="R73" s="14" t="s">
        <v>567</v>
      </c>
      <c r="S73" s="15" t="s">
        <v>568</v>
      </c>
    </row>
    <row r="74" customFormat="false" ht="75" hidden="false" customHeight="true" outlineLevel="0" collapsed="false">
      <c r="A74" s="12" t="s">
        <v>586</v>
      </c>
      <c r="B74" s="12" t="s">
        <v>21</v>
      </c>
      <c r="C74" s="13" t="s">
        <v>494</v>
      </c>
      <c r="D74" s="13" t="s">
        <v>587</v>
      </c>
      <c r="E74" s="12" t="s">
        <v>23</v>
      </c>
      <c r="F74" s="12" t="s">
        <v>14</v>
      </c>
      <c r="G74" s="12" t="s">
        <v>33</v>
      </c>
      <c r="H74" s="13" t="s">
        <v>55</v>
      </c>
      <c r="I74" s="13" t="s">
        <v>447</v>
      </c>
      <c r="J74" s="13" t="s">
        <v>588</v>
      </c>
      <c r="K74" s="13" t="s">
        <v>589</v>
      </c>
      <c r="L74" s="13" t="s">
        <v>590</v>
      </c>
      <c r="M74" s="13" t="s">
        <v>47</v>
      </c>
      <c r="N74" s="13" t="s">
        <v>591</v>
      </c>
      <c r="O74" s="12" t="s">
        <v>36</v>
      </c>
      <c r="P74" s="12" t="s">
        <v>86</v>
      </c>
      <c r="Q74" s="12" t="s">
        <v>273</v>
      </c>
      <c r="R74" s="12" t="s">
        <v>567</v>
      </c>
      <c r="S74" s="13" t="s">
        <v>568</v>
      </c>
    </row>
    <row r="75" customFormat="false" ht="87.75" hidden="false" customHeight="true" outlineLevel="0" collapsed="false">
      <c r="A75" s="14" t="s">
        <v>592</v>
      </c>
      <c r="B75" s="14" t="s">
        <v>21</v>
      </c>
      <c r="C75" s="15" t="s">
        <v>494</v>
      </c>
      <c r="D75" s="15" t="s">
        <v>593</v>
      </c>
      <c r="E75" s="14" t="s">
        <v>23</v>
      </c>
      <c r="F75" s="14" t="s">
        <v>15</v>
      </c>
      <c r="G75" s="14" t="s">
        <v>33</v>
      </c>
      <c r="H75" s="15" t="s">
        <v>55</v>
      </c>
      <c r="I75" s="15" t="s">
        <v>447</v>
      </c>
      <c r="J75" s="15" t="s">
        <v>594</v>
      </c>
      <c r="K75" s="15" t="s">
        <v>595</v>
      </c>
      <c r="L75" s="15" t="s">
        <v>596</v>
      </c>
      <c r="M75" s="15" t="s">
        <v>47</v>
      </c>
      <c r="N75" s="15" t="s">
        <v>597</v>
      </c>
      <c r="O75" s="14" t="s">
        <v>36</v>
      </c>
      <c r="P75" s="14" t="s">
        <v>86</v>
      </c>
      <c r="Q75" s="14" t="s">
        <v>273</v>
      </c>
      <c r="R75" s="14" t="s">
        <v>187</v>
      </c>
      <c r="S75" s="15" t="s">
        <v>568</v>
      </c>
    </row>
    <row r="76" customFormat="false" ht="75" hidden="false" customHeight="true" outlineLevel="0" collapsed="false">
      <c r="A76" s="12" t="s">
        <v>598</v>
      </c>
      <c r="B76" s="12" t="s">
        <v>21</v>
      </c>
      <c r="C76" s="13" t="s">
        <v>494</v>
      </c>
      <c r="D76" s="13" t="s">
        <v>599</v>
      </c>
      <c r="E76" s="12" t="s">
        <v>26</v>
      </c>
      <c r="F76" s="12" t="s">
        <v>16</v>
      </c>
      <c r="G76" s="12" t="s">
        <v>33</v>
      </c>
      <c r="H76" s="13" t="s">
        <v>55</v>
      </c>
      <c r="I76" s="13" t="s">
        <v>447</v>
      </c>
      <c r="J76" s="13" t="s">
        <v>600</v>
      </c>
      <c r="K76" s="13" t="s">
        <v>601</v>
      </c>
      <c r="L76" s="13" t="s">
        <v>602</v>
      </c>
      <c r="M76" s="13" t="s">
        <v>47</v>
      </c>
      <c r="N76" s="13" t="s">
        <v>603</v>
      </c>
      <c r="O76" s="12" t="s">
        <v>36</v>
      </c>
      <c r="P76" s="12" t="s">
        <v>86</v>
      </c>
      <c r="Q76" s="12" t="s">
        <v>273</v>
      </c>
      <c r="R76" s="12" t="s">
        <v>604</v>
      </c>
      <c r="S76" s="13" t="s">
        <v>605</v>
      </c>
    </row>
    <row r="77" customFormat="false" ht="87.75" hidden="false" customHeight="true" outlineLevel="0" collapsed="false">
      <c r="A77" s="14" t="s">
        <v>606</v>
      </c>
      <c r="B77" s="14" t="s">
        <v>21</v>
      </c>
      <c r="C77" s="15" t="s">
        <v>494</v>
      </c>
      <c r="D77" s="15" t="s">
        <v>607</v>
      </c>
      <c r="E77" s="14" t="s">
        <v>24</v>
      </c>
      <c r="F77" s="14" t="s">
        <v>14</v>
      </c>
      <c r="G77" s="14" t="s">
        <v>32</v>
      </c>
      <c r="H77" s="15" t="s">
        <v>55</v>
      </c>
      <c r="I77" s="15" t="s">
        <v>447</v>
      </c>
      <c r="J77" s="15" t="s">
        <v>608</v>
      </c>
      <c r="K77" s="15" t="s">
        <v>609</v>
      </c>
      <c r="L77" s="15" t="s">
        <v>610</v>
      </c>
      <c r="M77" s="15" t="s">
        <v>47</v>
      </c>
      <c r="N77" s="15" t="s">
        <v>611</v>
      </c>
      <c r="O77" s="14" t="s">
        <v>34</v>
      </c>
      <c r="P77" s="14" t="s">
        <v>86</v>
      </c>
      <c r="Q77" s="14" t="s">
        <v>273</v>
      </c>
      <c r="R77" s="14"/>
      <c r="S77" s="15" t="s">
        <v>612</v>
      </c>
    </row>
    <row r="78" customFormat="false" ht="75" hidden="false" customHeight="true" outlineLevel="0" collapsed="false">
      <c r="A78" s="12" t="s">
        <v>613</v>
      </c>
      <c r="B78" s="12" t="s">
        <v>21</v>
      </c>
      <c r="C78" s="13" t="s">
        <v>494</v>
      </c>
      <c r="D78" s="13" t="s">
        <v>614</v>
      </c>
      <c r="E78" s="12" t="s">
        <v>23</v>
      </c>
      <c r="F78" s="12" t="s">
        <v>15</v>
      </c>
      <c r="G78" s="12" t="s">
        <v>33</v>
      </c>
      <c r="H78" s="13" t="s">
        <v>55</v>
      </c>
      <c r="I78" s="13" t="s">
        <v>447</v>
      </c>
      <c r="J78" s="13" t="s">
        <v>615</v>
      </c>
      <c r="K78" s="13" t="s">
        <v>616</v>
      </c>
      <c r="L78" s="13" t="s">
        <v>617</v>
      </c>
      <c r="M78" s="13" t="s">
        <v>43</v>
      </c>
      <c r="N78" s="13" t="s">
        <v>618</v>
      </c>
      <c r="O78" s="12" t="s">
        <v>36</v>
      </c>
      <c r="P78" s="12" t="s">
        <v>89</v>
      </c>
      <c r="Q78" s="12" t="s">
        <v>124</v>
      </c>
      <c r="R78" s="12" t="s">
        <v>619</v>
      </c>
      <c r="S78" s="13" t="s">
        <v>500</v>
      </c>
    </row>
    <row r="79" customFormat="false" ht="61.5" hidden="false" customHeight="true" outlineLevel="0" collapsed="false">
      <c r="A79" s="14" t="s">
        <v>620</v>
      </c>
      <c r="B79" s="14" t="s">
        <v>21</v>
      </c>
      <c r="C79" s="15" t="s">
        <v>494</v>
      </c>
      <c r="D79" s="15" t="s">
        <v>621</v>
      </c>
      <c r="E79" s="14" t="s">
        <v>24</v>
      </c>
      <c r="F79" s="14" t="s">
        <v>14</v>
      </c>
      <c r="G79" s="14" t="s">
        <v>32</v>
      </c>
      <c r="H79" s="15" t="s">
        <v>55</v>
      </c>
      <c r="I79" s="15" t="s">
        <v>447</v>
      </c>
      <c r="J79" s="15" t="s">
        <v>622</v>
      </c>
      <c r="K79" s="15" t="s">
        <v>623</v>
      </c>
      <c r="L79" s="15" t="s">
        <v>624</v>
      </c>
      <c r="M79" s="15" t="s">
        <v>47</v>
      </c>
      <c r="N79" s="15" t="s">
        <v>625</v>
      </c>
      <c r="O79" s="14" t="s">
        <v>36</v>
      </c>
      <c r="P79" s="14" t="s">
        <v>86</v>
      </c>
      <c r="Q79" s="14" t="s">
        <v>273</v>
      </c>
      <c r="R79" s="14" t="s">
        <v>626</v>
      </c>
      <c r="S79" s="15" t="s">
        <v>627</v>
      </c>
    </row>
    <row r="80" customFormat="false" ht="75" hidden="false" customHeight="true" outlineLevel="0" collapsed="false">
      <c r="A80" s="12" t="s">
        <v>628</v>
      </c>
      <c r="B80" s="12" t="s">
        <v>21</v>
      </c>
      <c r="C80" s="13" t="s">
        <v>494</v>
      </c>
      <c r="D80" s="13" t="s">
        <v>629</v>
      </c>
      <c r="E80" s="12" t="s">
        <v>24</v>
      </c>
      <c r="F80" s="12" t="s">
        <v>14</v>
      </c>
      <c r="G80" s="12" t="s">
        <v>32</v>
      </c>
      <c r="H80" s="13" t="s">
        <v>55</v>
      </c>
      <c r="I80" s="13" t="s">
        <v>447</v>
      </c>
      <c r="J80" s="13" t="s">
        <v>630</v>
      </c>
      <c r="K80" s="13" t="s">
        <v>616</v>
      </c>
      <c r="L80" s="13" t="s">
        <v>631</v>
      </c>
      <c r="M80" s="13" t="s">
        <v>47</v>
      </c>
      <c r="N80" s="13" t="s">
        <v>632</v>
      </c>
      <c r="O80" s="12" t="s">
        <v>36</v>
      </c>
      <c r="P80" s="12" t="s">
        <v>86</v>
      </c>
      <c r="Q80" s="12" t="s">
        <v>273</v>
      </c>
      <c r="R80" s="12" t="s">
        <v>626</v>
      </c>
      <c r="S80" s="13" t="s">
        <v>627</v>
      </c>
    </row>
    <row r="81" customFormat="false" ht="75" hidden="false" customHeight="true" outlineLevel="0" collapsed="false">
      <c r="A81" s="14" t="s">
        <v>633</v>
      </c>
      <c r="B81" s="14" t="s">
        <v>21</v>
      </c>
      <c r="C81" s="15" t="s">
        <v>373</v>
      </c>
      <c r="D81" s="15" t="s">
        <v>634</v>
      </c>
      <c r="E81" s="14" t="s">
        <v>25</v>
      </c>
      <c r="F81" s="14" t="s">
        <v>13</v>
      </c>
      <c r="G81" s="14" t="s">
        <v>32</v>
      </c>
      <c r="H81" s="15" t="s">
        <v>53</v>
      </c>
      <c r="I81" s="15" t="s">
        <v>635</v>
      </c>
      <c r="J81" s="15" t="s">
        <v>636</v>
      </c>
      <c r="K81" s="15" t="s">
        <v>637</v>
      </c>
      <c r="L81" s="15" t="s">
        <v>638</v>
      </c>
      <c r="M81" s="15" t="s">
        <v>18</v>
      </c>
      <c r="N81" s="15" t="s">
        <v>639</v>
      </c>
      <c r="O81" s="14" t="s">
        <v>34</v>
      </c>
      <c r="P81" s="14" t="s">
        <v>89</v>
      </c>
      <c r="Q81" s="14" t="s">
        <v>323</v>
      </c>
      <c r="R81" s="14"/>
      <c r="S81" s="15" t="s">
        <v>640</v>
      </c>
    </row>
    <row r="82" customFormat="false" ht="48.75" hidden="false" customHeight="true" outlineLevel="0" collapsed="false">
      <c r="A82" s="12" t="s">
        <v>641</v>
      </c>
      <c r="B82" s="12" t="s">
        <v>21</v>
      </c>
      <c r="C82" s="13" t="s">
        <v>413</v>
      </c>
      <c r="D82" s="13" t="s">
        <v>642</v>
      </c>
      <c r="E82" s="12" t="s">
        <v>25</v>
      </c>
      <c r="F82" s="12" t="s">
        <v>13</v>
      </c>
      <c r="G82" s="12" t="s">
        <v>33</v>
      </c>
      <c r="H82" s="13" t="s">
        <v>53</v>
      </c>
      <c r="I82" s="13" t="s">
        <v>643</v>
      </c>
      <c r="J82" s="13" t="s">
        <v>644</v>
      </c>
      <c r="K82" s="13" t="s">
        <v>136</v>
      </c>
      <c r="L82" s="13" t="s">
        <v>645</v>
      </c>
      <c r="M82" s="13" t="s">
        <v>18</v>
      </c>
      <c r="N82" s="13" t="s">
        <v>646</v>
      </c>
      <c r="O82" s="12" t="s">
        <v>34</v>
      </c>
      <c r="P82" s="12" t="s">
        <v>89</v>
      </c>
      <c r="Q82" s="12" t="s">
        <v>323</v>
      </c>
      <c r="R82" s="12"/>
      <c r="S82" s="13" t="s">
        <v>640</v>
      </c>
    </row>
    <row r="83" customFormat="false" ht="48.75" hidden="false" customHeight="true" outlineLevel="0" collapsed="false">
      <c r="A83" s="14" t="s">
        <v>647</v>
      </c>
      <c r="B83" s="14" t="s">
        <v>21</v>
      </c>
      <c r="C83" s="15" t="s">
        <v>338</v>
      </c>
      <c r="D83" s="15" t="s">
        <v>648</v>
      </c>
      <c r="E83" s="14" t="s">
        <v>25</v>
      </c>
      <c r="F83" s="14" t="s">
        <v>14</v>
      </c>
      <c r="G83" s="14" t="s">
        <v>33</v>
      </c>
      <c r="H83" s="15" t="s">
        <v>55</v>
      </c>
      <c r="I83" s="15" t="s">
        <v>136</v>
      </c>
      <c r="J83" s="15" t="s">
        <v>649</v>
      </c>
      <c r="K83" s="15" t="s">
        <v>650</v>
      </c>
      <c r="L83" s="15" t="s">
        <v>651</v>
      </c>
      <c r="M83" s="15" t="s">
        <v>43</v>
      </c>
      <c r="N83" s="15" t="s">
        <v>652</v>
      </c>
      <c r="O83" s="14" t="s">
        <v>36</v>
      </c>
      <c r="P83" s="14" t="s">
        <v>89</v>
      </c>
      <c r="Q83" s="14" t="s">
        <v>323</v>
      </c>
      <c r="R83" s="14" t="s">
        <v>336</v>
      </c>
      <c r="S83" s="15" t="s">
        <v>653</v>
      </c>
    </row>
    <row r="84" customFormat="false" ht="61.5" hidden="false" customHeight="true" outlineLevel="0" collapsed="false">
      <c r="A84" s="12" t="s">
        <v>654</v>
      </c>
      <c r="B84" s="12" t="s">
        <v>21</v>
      </c>
      <c r="C84" s="13" t="s">
        <v>373</v>
      </c>
      <c r="D84" s="13" t="s">
        <v>655</v>
      </c>
      <c r="E84" s="12" t="s">
        <v>24</v>
      </c>
      <c r="F84" s="12" t="s">
        <v>15</v>
      </c>
      <c r="G84" s="12" t="s">
        <v>31</v>
      </c>
      <c r="H84" s="13" t="s">
        <v>55</v>
      </c>
      <c r="I84" s="13" t="s">
        <v>656</v>
      </c>
      <c r="J84" s="13" t="s">
        <v>657</v>
      </c>
      <c r="K84" s="13" t="s">
        <v>384</v>
      </c>
      <c r="L84" s="13" t="s">
        <v>658</v>
      </c>
      <c r="M84" s="13" t="s">
        <v>43</v>
      </c>
      <c r="N84" s="13" t="s">
        <v>659</v>
      </c>
      <c r="O84" s="12" t="s">
        <v>36</v>
      </c>
      <c r="P84" s="12" t="s">
        <v>89</v>
      </c>
      <c r="Q84" s="12" t="s">
        <v>124</v>
      </c>
      <c r="R84" s="12" t="s">
        <v>660</v>
      </c>
      <c r="S84" s="13" t="s">
        <v>371</v>
      </c>
    </row>
    <row r="85" customFormat="false" ht="126.75" hidden="false" customHeight="true" outlineLevel="0" collapsed="false">
      <c r="A85" s="14" t="s">
        <v>661</v>
      </c>
      <c r="B85" s="14" t="s">
        <v>21</v>
      </c>
      <c r="C85" s="15" t="s">
        <v>494</v>
      </c>
      <c r="D85" s="15" t="s">
        <v>662</v>
      </c>
      <c r="E85" s="14" t="s">
        <v>23</v>
      </c>
      <c r="F85" s="14" t="s">
        <v>15</v>
      </c>
      <c r="G85" s="14" t="s">
        <v>32</v>
      </c>
      <c r="H85" s="15" t="s">
        <v>53</v>
      </c>
      <c r="I85" s="15" t="s">
        <v>663</v>
      </c>
      <c r="J85" s="15" t="s">
        <v>664</v>
      </c>
      <c r="K85" s="15" t="s">
        <v>511</v>
      </c>
      <c r="L85" s="15" t="s">
        <v>665</v>
      </c>
      <c r="M85" s="15" t="s">
        <v>43</v>
      </c>
      <c r="N85" s="15" t="s">
        <v>666</v>
      </c>
      <c r="O85" s="14" t="s">
        <v>36</v>
      </c>
      <c r="P85" s="14" t="s">
        <v>89</v>
      </c>
      <c r="Q85" s="14" t="s">
        <v>667</v>
      </c>
      <c r="R85" s="14" t="s">
        <v>668</v>
      </c>
      <c r="S85" s="15" t="s">
        <v>500</v>
      </c>
    </row>
  </sheetData>
  <autoFilter ref="A1:S85"/>
  <conditionalFormatting sqref="O2:O85">
    <cfRule type="expression" priority="2" aboveAverage="0" equalAverage="0" bottom="0" percent="0" rank="0" text="" dxfId="7">
      <formula>$O2="Pass"</formula>
    </cfRule>
    <cfRule type="expression" priority="3" aboveAverage="0" equalAverage="0" bottom="0" percent="0" rank="0" text="" dxfId="8">
      <formula>$O2="Fail"</formula>
    </cfRule>
    <cfRule type="expression" priority="4" aboveAverage="0" equalAverage="0" bottom="0" percent="0" rank="0" text="" dxfId="9">
      <formula>$O2="Blocked"</formula>
    </cfRule>
  </conditionalFormatting>
  <conditionalFormatting sqref="G2:G85">
    <cfRule type="expression" priority="5" aboveAverage="0" equalAverage="0" bottom="0" percent="0" rank="0" text="" dxfId="10">
      <formula>$G2="P1"</formula>
    </cfRule>
  </conditionalFormatting>
  <dataValidations count="6">
    <dataValidation allowBlank="false" errorStyle="stop" operator="between" showDropDown="false" showErrorMessage="false" showInputMessage="false" sqref="E2:E85" type="list">
      <formula1>"Functional,Security,API,Usability,Performance"</formula1>
      <formula2>0</formula2>
    </dataValidation>
    <dataValidation allowBlank="false" errorStyle="stop" operator="between" showDropDown="false" showErrorMessage="false" showInputMessage="false" sqref="F2:F85" type="list">
      <formula1>"Positive,Negative,Edge,Boundary"</formula1>
      <formula2>0</formula2>
    </dataValidation>
    <dataValidation allowBlank="false" errorStyle="stop" operator="between" showDropDown="false" showErrorMessage="false" showInputMessage="false" sqref="G2:G85" type="list">
      <formula1>"P1,P2,P3"</formula1>
      <formula2>0</formula2>
    </dataValidation>
    <dataValidation allowBlank="false" errorStyle="stop" operator="between" showDropDown="false" showErrorMessage="false" showInputMessage="false" sqref="H2:H85" type="list">
      <formula1>"Challenge brief,Observed behaviour,Assumed (common practice)"</formula1>
      <formula2>0</formula2>
    </dataValidation>
    <dataValidation allowBlank="false" errorStyle="stop" operator="between" showDropDown="false" showErrorMessage="false" showInputMessage="false" sqref="O2:O85" type="list">
      <formula1>"Not Run,Pass,Fail,Blocked"</formula1>
      <formula2>0</formula2>
    </dataValidation>
    <dataValidation allowBlank="false" errorStyle="stop" operator="between" showDropDown="false" showErrorMessage="false" showInputMessage="false" sqref="M2:M85" type="list">
      <formula1>"Automated,Automated (known defect),Backlog,Manual"</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22"/>
    <col collapsed="false" customWidth="true" hidden="false" outlineLevel="0" max="4" min="4" style="0" width="15"/>
    <col collapsed="false" customWidth="true" hidden="false" outlineLevel="0" max="5" min="5" style="0" width="14"/>
    <col collapsed="false" customWidth="true" hidden="false" outlineLevel="0" max="6" min="6" style="0" width="46"/>
    <col collapsed="false" customWidth="true" hidden="false" outlineLevel="0" max="7" min="7" style="0" width="34"/>
    <col collapsed="false" customWidth="true" hidden="false" outlineLevel="0" max="8" min="8" style="0" width="44"/>
    <col collapsed="false" customWidth="true" hidden="false" outlineLevel="0" max="9" min="9" style="0" width="14"/>
    <col collapsed="false" customWidth="true" hidden="false" outlineLevel="0" max="10" min="10" style="0" width="40"/>
  </cols>
  <sheetData>
    <row r="1" customFormat="false" ht="30" hidden="false" customHeight="true" outlineLevel="0" collapsed="false">
      <c r="A1" s="5" t="s">
        <v>669</v>
      </c>
      <c r="B1" s="5" t="s">
        <v>670</v>
      </c>
      <c r="C1" s="5" t="s">
        <v>58</v>
      </c>
      <c r="D1" s="5" t="s">
        <v>671</v>
      </c>
      <c r="E1" s="5" t="s">
        <v>672</v>
      </c>
      <c r="F1" s="5" t="s">
        <v>673</v>
      </c>
      <c r="G1" s="5" t="s">
        <v>674</v>
      </c>
      <c r="H1" s="5" t="s">
        <v>675</v>
      </c>
      <c r="I1" s="5" t="s">
        <v>676</v>
      </c>
      <c r="J1" s="5" t="s">
        <v>677</v>
      </c>
    </row>
    <row r="2" customFormat="false" ht="61.5" hidden="false" customHeight="true" outlineLevel="0" collapsed="false">
      <c r="A2" s="12" t="s">
        <v>532</v>
      </c>
      <c r="B2" s="13" t="s">
        <v>678</v>
      </c>
      <c r="C2" s="13" t="s">
        <v>61</v>
      </c>
      <c r="D2" s="12" t="s">
        <v>679</v>
      </c>
      <c r="E2" s="12" t="s">
        <v>527</v>
      </c>
      <c r="F2" s="13" t="s">
        <v>680</v>
      </c>
      <c r="G2" s="13" t="s">
        <v>681</v>
      </c>
      <c r="H2" s="13" t="s">
        <v>682</v>
      </c>
      <c r="I2" s="12" t="s">
        <v>60</v>
      </c>
      <c r="J2" s="13" t="s">
        <v>683</v>
      </c>
    </row>
    <row r="3" customFormat="false" ht="75" hidden="false" customHeight="true" outlineLevel="0" collapsed="false">
      <c r="A3" s="14" t="s">
        <v>520</v>
      </c>
      <c r="B3" s="15" t="s">
        <v>684</v>
      </c>
      <c r="C3" s="15" t="s">
        <v>61</v>
      </c>
      <c r="D3" s="14" t="s">
        <v>679</v>
      </c>
      <c r="E3" s="14" t="s">
        <v>514</v>
      </c>
      <c r="F3" s="15" t="s">
        <v>685</v>
      </c>
      <c r="G3" s="15" t="s">
        <v>686</v>
      </c>
      <c r="H3" s="15" t="s">
        <v>687</v>
      </c>
      <c r="I3" s="14" t="s">
        <v>60</v>
      </c>
      <c r="J3" s="15" t="s">
        <v>688</v>
      </c>
    </row>
    <row r="4" customFormat="false" ht="61.5" hidden="false" customHeight="true" outlineLevel="0" collapsed="false">
      <c r="A4" s="12" t="s">
        <v>575</v>
      </c>
      <c r="B4" s="13" t="s">
        <v>689</v>
      </c>
      <c r="C4" s="13" t="s">
        <v>62</v>
      </c>
      <c r="D4" s="12" t="s">
        <v>679</v>
      </c>
      <c r="E4" s="12" t="s">
        <v>690</v>
      </c>
      <c r="F4" s="13" t="s">
        <v>691</v>
      </c>
      <c r="G4" s="13" t="s">
        <v>692</v>
      </c>
      <c r="H4" s="13" t="s">
        <v>693</v>
      </c>
      <c r="I4" s="12" t="s">
        <v>60</v>
      </c>
      <c r="J4" s="13" t="s">
        <v>694</v>
      </c>
    </row>
    <row r="5" customFormat="false" ht="75" hidden="false" customHeight="true" outlineLevel="0" collapsed="false">
      <c r="A5" s="14" t="s">
        <v>567</v>
      </c>
      <c r="B5" s="15" t="s">
        <v>695</v>
      </c>
      <c r="C5" s="15" t="s">
        <v>62</v>
      </c>
      <c r="D5" s="14" t="s">
        <v>696</v>
      </c>
      <c r="E5" s="14" t="s">
        <v>697</v>
      </c>
      <c r="F5" s="15" t="s">
        <v>698</v>
      </c>
      <c r="G5" s="15" t="s">
        <v>699</v>
      </c>
      <c r="H5" s="15" t="s">
        <v>700</v>
      </c>
      <c r="I5" s="14" t="s">
        <v>60</v>
      </c>
      <c r="J5" s="15" t="s">
        <v>694</v>
      </c>
    </row>
    <row r="6" customFormat="false" ht="87.75" hidden="false" customHeight="true" outlineLevel="0" collapsed="false">
      <c r="A6" s="12" t="s">
        <v>187</v>
      </c>
      <c r="B6" s="13" t="s">
        <v>701</v>
      </c>
      <c r="C6" s="13" t="s">
        <v>62</v>
      </c>
      <c r="D6" s="12" t="s">
        <v>702</v>
      </c>
      <c r="E6" s="12" t="s">
        <v>703</v>
      </c>
      <c r="F6" s="13" t="s">
        <v>704</v>
      </c>
      <c r="G6" s="13" t="s">
        <v>705</v>
      </c>
      <c r="H6" s="13" t="s">
        <v>706</v>
      </c>
      <c r="I6" s="12" t="s">
        <v>60</v>
      </c>
      <c r="J6" s="13" t="s">
        <v>707</v>
      </c>
    </row>
    <row r="7" customFormat="false" ht="61.5" hidden="false" customHeight="true" outlineLevel="0" collapsed="false">
      <c r="A7" s="14" t="s">
        <v>379</v>
      </c>
      <c r="B7" s="15" t="s">
        <v>708</v>
      </c>
      <c r="C7" s="15" t="s">
        <v>61</v>
      </c>
      <c r="D7" s="14" t="s">
        <v>709</v>
      </c>
      <c r="E7" s="14" t="s">
        <v>710</v>
      </c>
      <c r="F7" s="15" t="s">
        <v>711</v>
      </c>
      <c r="G7" s="15" t="s">
        <v>712</v>
      </c>
      <c r="H7" s="15" t="s">
        <v>713</v>
      </c>
      <c r="I7" s="14" t="s">
        <v>714</v>
      </c>
      <c r="J7" s="15" t="s">
        <v>694</v>
      </c>
    </row>
    <row r="8" customFormat="false" ht="61.5" hidden="false" customHeight="true" outlineLevel="0" collapsed="false">
      <c r="A8" s="12" t="s">
        <v>304</v>
      </c>
      <c r="B8" s="13" t="s">
        <v>715</v>
      </c>
      <c r="C8" s="13" t="s">
        <v>63</v>
      </c>
      <c r="D8" s="12" t="s">
        <v>716</v>
      </c>
      <c r="E8" s="12" t="s">
        <v>299</v>
      </c>
      <c r="F8" s="13" t="s">
        <v>717</v>
      </c>
      <c r="G8" s="13" t="s">
        <v>718</v>
      </c>
      <c r="H8" s="13" t="s">
        <v>719</v>
      </c>
      <c r="I8" s="12" t="s">
        <v>60</v>
      </c>
      <c r="J8" s="13" t="s">
        <v>720</v>
      </c>
    </row>
    <row r="9" customFormat="false" ht="61.5" hidden="false" customHeight="true" outlineLevel="0" collapsed="false">
      <c r="A9" s="14" t="s">
        <v>293</v>
      </c>
      <c r="B9" s="15" t="s">
        <v>721</v>
      </c>
      <c r="C9" s="15" t="s">
        <v>63</v>
      </c>
      <c r="D9" s="14" t="s">
        <v>722</v>
      </c>
      <c r="E9" s="14" t="s">
        <v>288</v>
      </c>
      <c r="F9" s="15" t="s">
        <v>723</v>
      </c>
      <c r="G9" s="15" t="s">
        <v>724</v>
      </c>
      <c r="H9" s="15" t="s">
        <v>725</v>
      </c>
      <c r="I9" s="14" t="s">
        <v>60</v>
      </c>
      <c r="J9" s="15" t="s">
        <v>726</v>
      </c>
    </row>
    <row r="10" customFormat="false" ht="48.75" hidden="false" customHeight="true" outlineLevel="0" collapsed="false">
      <c r="A10" s="12" t="s">
        <v>492</v>
      </c>
      <c r="B10" s="13" t="s">
        <v>727</v>
      </c>
      <c r="C10" s="13" t="s">
        <v>64</v>
      </c>
      <c r="D10" s="12" t="s">
        <v>702</v>
      </c>
      <c r="E10" s="12" t="s">
        <v>485</v>
      </c>
      <c r="F10" s="13" t="s">
        <v>728</v>
      </c>
      <c r="G10" s="13" t="s">
        <v>729</v>
      </c>
      <c r="H10" s="13" t="s">
        <v>730</v>
      </c>
      <c r="I10" s="12" t="s">
        <v>60</v>
      </c>
      <c r="J10" s="13" t="s">
        <v>731</v>
      </c>
    </row>
    <row r="11" customFormat="false" ht="61.5" hidden="false" customHeight="true" outlineLevel="0" collapsed="false">
      <c r="A11" s="14" t="s">
        <v>245</v>
      </c>
      <c r="B11" s="15" t="s">
        <v>732</v>
      </c>
      <c r="C11" s="15" t="s">
        <v>64</v>
      </c>
      <c r="D11" s="14" t="s">
        <v>733</v>
      </c>
      <c r="E11" s="14" t="s">
        <v>240</v>
      </c>
      <c r="F11" s="15" t="s">
        <v>734</v>
      </c>
      <c r="G11" s="15" t="s">
        <v>735</v>
      </c>
      <c r="H11" s="15" t="s">
        <v>736</v>
      </c>
      <c r="I11" s="14" t="s">
        <v>60</v>
      </c>
      <c r="J11" s="15" t="s">
        <v>737</v>
      </c>
    </row>
    <row r="12" customFormat="false" ht="61.5" hidden="false" customHeight="true" outlineLevel="0" collapsed="false">
      <c r="A12" s="12" t="s">
        <v>252</v>
      </c>
      <c r="B12" s="13" t="s">
        <v>738</v>
      </c>
      <c r="C12" s="13" t="s">
        <v>64</v>
      </c>
      <c r="D12" s="12" t="s">
        <v>709</v>
      </c>
      <c r="E12" s="12" t="s">
        <v>739</v>
      </c>
      <c r="F12" s="13" t="s">
        <v>740</v>
      </c>
      <c r="G12" s="13" t="s">
        <v>741</v>
      </c>
      <c r="H12" s="13" t="s">
        <v>742</v>
      </c>
      <c r="I12" s="12" t="s">
        <v>60</v>
      </c>
      <c r="J12" s="13" t="s">
        <v>743</v>
      </c>
    </row>
    <row r="13" customFormat="false" ht="61.5" hidden="false" customHeight="true" outlineLevel="0" collapsed="false">
      <c r="A13" s="14" t="s">
        <v>507</v>
      </c>
      <c r="B13" s="15" t="s">
        <v>744</v>
      </c>
      <c r="C13" s="15" t="s">
        <v>62</v>
      </c>
      <c r="D13" s="14" t="s">
        <v>745</v>
      </c>
      <c r="E13" s="14" t="s">
        <v>501</v>
      </c>
      <c r="F13" s="15" t="s">
        <v>746</v>
      </c>
      <c r="G13" s="15" t="s">
        <v>747</v>
      </c>
      <c r="H13" s="15" t="s">
        <v>748</v>
      </c>
      <c r="I13" s="14" t="s">
        <v>60</v>
      </c>
      <c r="J13" s="15" t="s">
        <v>694</v>
      </c>
    </row>
    <row r="14" customFormat="false" ht="48.75" hidden="false" customHeight="true" outlineLevel="0" collapsed="false">
      <c r="A14" s="12" t="s">
        <v>418</v>
      </c>
      <c r="B14" s="13" t="s">
        <v>749</v>
      </c>
      <c r="C14" s="13" t="s">
        <v>64</v>
      </c>
      <c r="D14" s="12" t="s">
        <v>750</v>
      </c>
      <c r="E14" s="12" t="s">
        <v>412</v>
      </c>
      <c r="F14" s="13" t="s">
        <v>751</v>
      </c>
      <c r="G14" s="13" t="s">
        <v>752</v>
      </c>
      <c r="H14" s="13" t="s">
        <v>753</v>
      </c>
      <c r="I14" s="12" t="s">
        <v>60</v>
      </c>
      <c r="J14" s="13" t="s">
        <v>694</v>
      </c>
    </row>
    <row r="15" customFormat="false" ht="61.5" hidden="false" customHeight="true" outlineLevel="0" collapsed="false">
      <c r="A15" s="14" t="s">
        <v>405</v>
      </c>
      <c r="B15" s="15" t="s">
        <v>754</v>
      </c>
      <c r="C15" s="15" t="s">
        <v>61</v>
      </c>
      <c r="D15" s="14" t="s">
        <v>679</v>
      </c>
      <c r="E15" s="14" t="s">
        <v>399</v>
      </c>
      <c r="F15" s="15" t="s">
        <v>755</v>
      </c>
      <c r="G15" s="15" t="s">
        <v>756</v>
      </c>
      <c r="H15" s="15" t="s">
        <v>757</v>
      </c>
      <c r="I15" s="14" t="s">
        <v>758</v>
      </c>
      <c r="J15" s="15" t="s">
        <v>694</v>
      </c>
    </row>
    <row r="16" customFormat="false" ht="48.75" hidden="false" customHeight="true" outlineLevel="0" collapsed="false">
      <c r="A16" s="12" t="s">
        <v>357</v>
      </c>
      <c r="B16" s="13" t="s">
        <v>759</v>
      </c>
      <c r="C16" s="13" t="s">
        <v>61</v>
      </c>
      <c r="D16" s="12" t="s">
        <v>702</v>
      </c>
      <c r="E16" s="12" t="s">
        <v>351</v>
      </c>
      <c r="F16" s="13" t="s">
        <v>760</v>
      </c>
      <c r="G16" s="13" t="s">
        <v>761</v>
      </c>
      <c r="H16" s="13" t="s">
        <v>762</v>
      </c>
      <c r="I16" s="12" t="s">
        <v>60</v>
      </c>
      <c r="J16" s="13" t="s">
        <v>694</v>
      </c>
    </row>
    <row r="17" customFormat="false" ht="48.75" hidden="false" customHeight="true" outlineLevel="0" collapsed="false">
      <c r="A17" s="14" t="s">
        <v>363</v>
      </c>
      <c r="B17" s="15" t="s">
        <v>763</v>
      </c>
      <c r="C17" s="15" t="s">
        <v>61</v>
      </c>
      <c r="D17" s="14" t="s">
        <v>702</v>
      </c>
      <c r="E17" s="14" t="s">
        <v>358</v>
      </c>
      <c r="F17" s="15" t="s">
        <v>764</v>
      </c>
      <c r="G17" s="15" t="s">
        <v>765</v>
      </c>
      <c r="H17" s="15" t="s">
        <v>766</v>
      </c>
      <c r="I17" s="14" t="s">
        <v>60</v>
      </c>
      <c r="J17" s="15" t="s">
        <v>694</v>
      </c>
    </row>
    <row r="18" customFormat="false" ht="61.5" hidden="false" customHeight="true" outlineLevel="0" collapsed="false">
      <c r="A18" s="12" t="s">
        <v>626</v>
      </c>
      <c r="B18" s="13" t="s">
        <v>767</v>
      </c>
      <c r="C18" s="13" t="s">
        <v>63</v>
      </c>
      <c r="D18" s="12" t="s">
        <v>716</v>
      </c>
      <c r="E18" s="12" t="s">
        <v>768</v>
      </c>
      <c r="F18" s="13" t="s">
        <v>769</v>
      </c>
      <c r="G18" s="13" t="s">
        <v>770</v>
      </c>
      <c r="H18" s="13" t="s">
        <v>771</v>
      </c>
      <c r="I18" s="12" t="s">
        <v>60</v>
      </c>
      <c r="J18" s="13" t="s">
        <v>694</v>
      </c>
    </row>
    <row r="19" customFormat="false" ht="61.5" hidden="false" customHeight="true" outlineLevel="0" collapsed="false">
      <c r="A19" s="14" t="s">
        <v>286</v>
      </c>
      <c r="B19" s="15" t="s">
        <v>772</v>
      </c>
      <c r="C19" s="15" t="s">
        <v>63</v>
      </c>
      <c r="D19" s="14" t="s">
        <v>773</v>
      </c>
      <c r="E19" s="14" t="s">
        <v>281</v>
      </c>
      <c r="F19" s="15" t="s">
        <v>774</v>
      </c>
      <c r="G19" s="15" t="s">
        <v>775</v>
      </c>
      <c r="H19" s="15" t="s">
        <v>776</v>
      </c>
      <c r="I19" s="14" t="s">
        <v>60</v>
      </c>
      <c r="J19" s="15" t="s">
        <v>777</v>
      </c>
    </row>
    <row r="20" customFormat="false" ht="61.5" hidden="false" customHeight="true" outlineLevel="0" collapsed="false">
      <c r="A20" s="12" t="s">
        <v>336</v>
      </c>
      <c r="B20" s="13" t="s">
        <v>778</v>
      </c>
      <c r="C20" s="13" t="s">
        <v>62</v>
      </c>
      <c r="D20" s="12" t="s">
        <v>779</v>
      </c>
      <c r="E20" s="12" t="s">
        <v>780</v>
      </c>
      <c r="F20" s="13" t="s">
        <v>781</v>
      </c>
      <c r="G20" s="13" t="s">
        <v>782</v>
      </c>
      <c r="H20" s="13" t="s">
        <v>783</v>
      </c>
      <c r="I20" s="12" t="s">
        <v>60</v>
      </c>
      <c r="J20" s="13" t="s">
        <v>784</v>
      </c>
    </row>
    <row r="21" customFormat="false" ht="61.5" hidden="false" customHeight="true" outlineLevel="0" collapsed="false">
      <c r="A21" s="14" t="s">
        <v>539</v>
      </c>
      <c r="B21" s="15" t="s">
        <v>785</v>
      </c>
      <c r="C21" s="15" t="s">
        <v>61</v>
      </c>
      <c r="D21" s="14" t="s">
        <v>679</v>
      </c>
      <c r="E21" s="14" t="s">
        <v>533</v>
      </c>
      <c r="F21" s="15" t="s">
        <v>786</v>
      </c>
      <c r="G21" s="15" t="s">
        <v>787</v>
      </c>
      <c r="H21" s="15" t="s">
        <v>788</v>
      </c>
      <c r="I21" s="14" t="s">
        <v>60</v>
      </c>
      <c r="J21" s="15" t="s">
        <v>694</v>
      </c>
    </row>
    <row r="22" customFormat="false" ht="61.5" hidden="false" customHeight="true" outlineLevel="0" collapsed="false">
      <c r="A22" s="12" t="s">
        <v>604</v>
      </c>
      <c r="B22" s="13" t="s">
        <v>789</v>
      </c>
      <c r="C22" s="13" t="s">
        <v>62</v>
      </c>
      <c r="D22" s="12" t="s">
        <v>702</v>
      </c>
      <c r="E22" s="12" t="s">
        <v>598</v>
      </c>
      <c r="F22" s="13" t="s">
        <v>790</v>
      </c>
      <c r="G22" s="13" t="s">
        <v>791</v>
      </c>
      <c r="H22" s="13" t="s">
        <v>792</v>
      </c>
      <c r="I22" s="12" t="s">
        <v>60</v>
      </c>
      <c r="J22" s="13" t="s">
        <v>694</v>
      </c>
    </row>
    <row r="23" customFormat="false" ht="114" hidden="false" customHeight="true" outlineLevel="0" collapsed="false">
      <c r="A23" s="14" t="s">
        <v>660</v>
      </c>
      <c r="B23" s="15" t="s">
        <v>793</v>
      </c>
      <c r="C23" s="15" t="s">
        <v>61</v>
      </c>
      <c r="D23" s="14" t="s">
        <v>773</v>
      </c>
      <c r="E23" s="14" t="s">
        <v>654</v>
      </c>
      <c r="F23" s="15" t="s">
        <v>794</v>
      </c>
      <c r="G23" s="15" t="s">
        <v>795</v>
      </c>
      <c r="H23" s="15" t="s">
        <v>796</v>
      </c>
      <c r="I23" s="14" t="s">
        <v>60</v>
      </c>
      <c r="J23" s="15" t="s">
        <v>797</v>
      </c>
    </row>
    <row r="24" customFormat="false" ht="61.5" hidden="false" customHeight="true" outlineLevel="0" collapsed="false">
      <c r="A24" s="12" t="s">
        <v>239</v>
      </c>
      <c r="B24" s="13" t="s">
        <v>798</v>
      </c>
      <c r="C24" s="13" t="s">
        <v>61</v>
      </c>
      <c r="D24" s="12" t="s">
        <v>702</v>
      </c>
      <c r="E24" s="12" t="s">
        <v>234</v>
      </c>
      <c r="F24" s="13" t="s">
        <v>799</v>
      </c>
      <c r="G24" s="13" t="s">
        <v>800</v>
      </c>
      <c r="H24" s="13" t="s">
        <v>801</v>
      </c>
      <c r="I24" s="12" t="s">
        <v>60</v>
      </c>
      <c r="J24" s="13" t="s">
        <v>802</v>
      </c>
    </row>
    <row r="25" customFormat="false" ht="75" hidden="false" customHeight="true" outlineLevel="0" collapsed="false">
      <c r="A25" s="14" t="s">
        <v>619</v>
      </c>
      <c r="B25" s="15" t="s">
        <v>803</v>
      </c>
      <c r="C25" s="15" t="s">
        <v>61</v>
      </c>
      <c r="D25" s="14" t="s">
        <v>696</v>
      </c>
      <c r="E25" s="14" t="s">
        <v>613</v>
      </c>
      <c r="F25" s="15" t="s">
        <v>804</v>
      </c>
      <c r="G25" s="15" t="s">
        <v>805</v>
      </c>
      <c r="H25" s="15" t="s">
        <v>806</v>
      </c>
      <c r="I25" s="14" t="s">
        <v>60</v>
      </c>
      <c r="J25" s="15" t="s">
        <v>807</v>
      </c>
    </row>
    <row r="26" customFormat="false" ht="75" hidden="false" customHeight="true" outlineLevel="0" collapsed="false">
      <c r="A26" s="12" t="s">
        <v>233</v>
      </c>
      <c r="B26" s="13" t="s">
        <v>808</v>
      </c>
      <c r="C26" s="13" t="s">
        <v>63</v>
      </c>
      <c r="D26" s="12" t="s">
        <v>809</v>
      </c>
      <c r="E26" s="12" t="s">
        <v>227</v>
      </c>
      <c r="F26" s="13" t="s">
        <v>810</v>
      </c>
      <c r="G26" s="13" t="s">
        <v>811</v>
      </c>
      <c r="H26" s="13" t="s">
        <v>812</v>
      </c>
      <c r="I26" s="12" t="s">
        <v>60</v>
      </c>
      <c r="J26" s="13" t="s">
        <v>813</v>
      </c>
    </row>
    <row r="27" customFormat="false" ht="61.5" hidden="false" customHeight="true" outlineLevel="0" collapsed="false">
      <c r="A27" s="14" t="s">
        <v>194</v>
      </c>
      <c r="B27" s="15" t="s">
        <v>814</v>
      </c>
      <c r="C27" s="15" t="s">
        <v>62</v>
      </c>
      <c r="D27" s="14" t="s">
        <v>702</v>
      </c>
      <c r="E27" s="14" t="s">
        <v>188</v>
      </c>
      <c r="F27" s="15" t="s">
        <v>815</v>
      </c>
      <c r="G27" s="15" t="s">
        <v>816</v>
      </c>
      <c r="H27" s="15" t="s">
        <v>817</v>
      </c>
      <c r="I27" s="14" t="s">
        <v>60</v>
      </c>
      <c r="J27" s="15" t="s">
        <v>818</v>
      </c>
    </row>
    <row r="28" customFormat="false" ht="61.5" hidden="false" customHeight="true" outlineLevel="0" collapsed="false">
      <c r="A28" s="12" t="s">
        <v>201</v>
      </c>
      <c r="B28" s="13" t="s">
        <v>819</v>
      </c>
      <c r="C28" s="13" t="s">
        <v>62</v>
      </c>
      <c r="D28" s="12" t="s">
        <v>702</v>
      </c>
      <c r="E28" s="12" t="s">
        <v>195</v>
      </c>
      <c r="F28" s="13" t="s">
        <v>820</v>
      </c>
      <c r="G28" s="13" t="s">
        <v>821</v>
      </c>
      <c r="H28" s="13" t="s">
        <v>822</v>
      </c>
      <c r="I28" s="12" t="s">
        <v>60</v>
      </c>
      <c r="J28" s="13" t="s">
        <v>823</v>
      </c>
    </row>
    <row r="29" customFormat="false" ht="114" hidden="false" customHeight="true" outlineLevel="0" collapsed="false">
      <c r="A29" s="14" t="s">
        <v>668</v>
      </c>
      <c r="B29" s="15" t="s">
        <v>824</v>
      </c>
      <c r="C29" s="15" t="s">
        <v>61</v>
      </c>
      <c r="D29" s="14" t="s">
        <v>825</v>
      </c>
      <c r="E29" s="14" t="s">
        <v>661</v>
      </c>
      <c r="F29" s="15" t="s">
        <v>826</v>
      </c>
      <c r="G29" s="15" t="s">
        <v>827</v>
      </c>
      <c r="H29" s="15" t="s">
        <v>828</v>
      </c>
      <c r="I29" s="14" t="s">
        <v>60</v>
      </c>
      <c r="J29" s="15" t="s">
        <v>829</v>
      </c>
    </row>
    <row r="31" customFormat="false" ht="30" hidden="false" customHeight="true" outlineLevel="0" collapsed="false">
      <c r="A31" s="16" t="s">
        <v>830</v>
      </c>
      <c r="B31" s="16"/>
      <c r="C31" s="16"/>
      <c r="D31" s="16"/>
      <c r="E31" s="16"/>
      <c r="F31" s="16"/>
      <c r="G31" s="16"/>
      <c r="H31" s="16"/>
      <c r="I31" s="16"/>
      <c r="J31" s="16"/>
    </row>
  </sheetData>
  <autoFilter ref="A1:J29"/>
  <mergeCells count="1">
    <mergeCell ref="A31:J31"/>
  </mergeCells>
  <conditionalFormatting sqref="I2:I29">
    <cfRule type="expression" priority="2" aboveAverage="0" equalAverage="0" bottom="0" percent="0" rank="0" text="" dxfId="7">
      <formula>$I2="Reproduced"</formula>
    </cfRule>
    <cfRule type="expression" priority="3" aboveAverage="0" equalAverage="0" bottom="0" percent="0" rank="0" text="" dxfId="9">
      <formula>$I2="Intermittent"</formula>
    </cfRule>
  </conditionalFormatting>
  <dataValidations count="2">
    <dataValidation allowBlank="false" errorStyle="stop" operator="between" showDropDown="false" showErrorMessage="false" showInputMessage="false" sqref="I2:I29" type="list">
      <formula1>"Reproduced,To reproduce,Intermittent,Not reproducible"</formula1>
      <formula2>0</formula2>
    </dataValidation>
    <dataValidation allowBlank="false" errorStyle="stop" operator="between" showDropDown="false" showErrorMessage="false" showInputMessage="false" sqref="C2:C29" type="list">
      <formula1>"Defect,Potential defect – requirement to confirm,Security observation,UX / improvement suggestion"</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8"/>
    <col collapsed="false" customWidth="true" hidden="false" outlineLevel="0" max="3" min="3" style="0" width="60"/>
  </cols>
  <sheetData>
    <row r="1" customFormat="false" ht="15" hidden="false" customHeight="false" outlineLevel="0" collapsed="false">
      <c r="A1" s="4" t="s">
        <v>831</v>
      </c>
    </row>
    <row r="2" customFormat="false" ht="15" hidden="false" customHeight="false" outlineLevel="0" collapsed="false">
      <c r="A2" s="5" t="s">
        <v>832</v>
      </c>
      <c r="B2" s="5" t="s">
        <v>833</v>
      </c>
      <c r="C2" s="5" t="s">
        <v>834</v>
      </c>
    </row>
    <row r="3" customFormat="false" ht="15" hidden="false" customHeight="false" outlineLevel="0" collapsed="false">
      <c r="A3" s="15" t="s">
        <v>835</v>
      </c>
      <c r="B3" s="15" t="s">
        <v>836</v>
      </c>
      <c r="C3" s="15"/>
    </row>
    <row r="4" customFormat="false" ht="15" hidden="false" customHeight="false" outlineLevel="0" collapsed="false">
      <c r="A4" s="15" t="s">
        <v>837</v>
      </c>
      <c r="B4" s="15" t="s">
        <v>838</v>
      </c>
      <c r="C4" s="15"/>
    </row>
    <row r="5" customFormat="false" ht="15" hidden="false" customHeight="false" outlineLevel="0" collapsed="false">
      <c r="A5" s="15" t="s">
        <v>839</v>
      </c>
      <c r="B5" s="15" t="s">
        <v>840</v>
      </c>
      <c r="C5" s="15" t="s">
        <v>841</v>
      </c>
    </row>
    <row r="6" customFormat="false" ht="15" hidden="false" customHeight="false" outlineLevel="0" collapsed="false">
      <c r="A6" s="15" t="s">
        <v>842</v>
      </c>
      <c r="B6" s="15" t="s">
        <v>843</v>
      </c>
      <c r="C6" s="15" t="s">
        <v>844</v>
      </c>
    </row>
    <row r="7" customFormat="false" ht="15" hidden="false" customHeight="false" outlineLevel="0" collapsed="false">
      <c r="A7" s="15" t="s">
        <v>845</v>
      </c>
      <c r="B7" s="17" t="s">
        <v>846</v>
      </c>
      <c r="C7" s="15" t="s">
        <v>847</v>
      </c>
    </row>
    <row r="8" customFormat="false" ht="15" hidden="false" customHeight="false" outlineLevel="0" collapsed="false">
      <c r="A8" s="15" t="s">
        <v>848</v>
      </c>
      <c r="B8" s="15" t="s">
        <v>849</v>
      </c>
      <c r="C8" s="15" t="s">
        <v>844</v>
      </c>
    </row>
    <row r="10" customFormat="false" ht="15" hidden="false" customHeight="false" outlineLevel="0" collapsed="false">
      <c r="A10" s="4" t="s">
        <v>850</v>
      </c>
    </row>
    <row r="11" customFormat="false" ht="15" hidden="false" customHeight="false" outlineLevel="0" collapsed="false">
      <c r="A11" s="5" t="s">
        <v>851</v>
      </c>
      <c r="B11" s="5" t="s">
        <v>852</v>
      </c>
      <c r="C11" s="5" t="s">
        <v>853</v>
      </c>
    </row>
    <row r="12" customFormat="false" ht="15" hidden="false" customHeight="false" outlineLevel="0" collapsed="false">
      <c r="A12" s="15" t="s">
        <v>854</v>
      </c>
      <c r="B12" s="15" t="s">
        <v>855</v>
      </c>
      <c r="C12" s="15" t="s">
        <v>856</v>
      </c>
    </row>
    <row r="13" customFormat="false" ht="15" hidden="false" customHeight="false" outlineLevel="0" collapsed="false">
      <c r="A13" s="15" t="s">
        <v>857</v>
      </c>
      <c r="B13" s="15" t="s">
        <v>858</v>
      </c>
      <c r="C13" s="15" t="s">
        <v>859</v>
      </c>
    </row>
    <row r="14" customFormat="false" ht="15" hidden="false" customHeight="false" outlineLevel="0" collapsed="false">
      <c r="A14" s="15" t="s">
        <v>860</v>
      </c>
      <c r="B14" s="15" t="s">
        <v>861</v>
      </c>
      <c r="C14" s="15" t="s">
        <v>859</v>
      </c>
    </row>
    <row r="15" customFormat="false" ht="15" hidden="false" customHeight="false" outlineLevel="0" collapsed="false">
      <c r="A15" s="15" t="s">
        <v>862</v>
      </c>
      <c r="B15" s="15" t="s">
        <v>863</v>
      </c>
      <c r="C15" s="15" t="s">
        <v>864</v>
      </c>
    </row>
    <row r="16" customFormat="false" ht="15" hidden="false" customHeight="false" outlineLevel="0" collapsed="false">
      <c r="A16" s="15" t="s">
        <v>865</v>
      </c>
      <c r="B16" s="15" t="s">
        <v>866</v>
      </c>
      <c r="C16" s="15" t="s">
        <v>867</v>
      </c>
    </row>
    <row r="17" customFormat="false" ht="15" hidden="false" customHeight="false" outlineLevel="0" collapsed="false">
      <c r="A17" s="15" t="s">
        <v>868</v>
      </c>
      <c r="B17" s="15" t="s">
        <v>869</v>
      </c>
      <c r="C17" s="15" t="s">
        <v>870</v>
      </c>
    </row>
    <row r="19" customFormat="false" ht="15" hidden="false" customHeight="false" outlineLevel="0" collapsed="false">
      <c r="A19" s="4" t="s">
        <v>871</v>
      </c>
    </row>
    <row r="20" customFormat="false" ht="15" hidden="false" customHeight="false" outlineLevel="0" collapsed="false">
      <c r="A20" s="5" t="s">
        <v>872</v>
      </c>
      <c r="B20" s="5" t="s">
        <v>873</v>
      </c>
      <c r="C20" s="5" t="s">
        <v>58</v>
      </c>
    </row>
    <row r="21" customFormat="false" ht="15" hidden="false" customHeight="false" outlineLevel="0" collapsed="false">
      <c r="A21" s="15" t="s">
        <v>874</v>
      </c>
      <c r="B21" s="18" t="n">
        <v>360</v>
      </c>
      <c r="C21" s="15" t="s">
        <v>875</v>
      </c>
    </row>
    <row r="22" customFormat="false" ht="15" hidden="false" customHeight="false" outlineLevel="0" collapsed="false">
      <c r="A22" s="15" t="s">
        <v>876</v>
      </c>
      <c r="B22" s="18" t="n">
        <v>820</v>
      </c>
      <c r="C22" s="15" t="s">
        <v>875</v>
      </c>
    </row>
    <row r="23" customFormat="false" ht="15" hidden="false" customHeight="false" outlineLevel="0" collapsed="false">
      <c r="A23" s="15" t="s">
        <v>877</v>
      </c>
      <c r="B23" s="18" t="n">
        <v>650</v>
      </c>
      <c r="C23" s="15" t="s">
        <v>875</v>
      </c>
    </row>
    <row r="24" customFormat="false" ht="15" hidden="false" customHeight="false" outlineLevel="0" collapsed="false">
      <c r="A24" s="15" t="s">
        <v>878</v>
      </c>
      <c r="B24" s="18" t="n">
        <v>800</v>
      </c>
      <c r="C24" s="15" t="s">
        <v>875</v>
      </c>
    </row>
    <row r="25" customFormat="false" ht="15" hidden="false" customHeight="false" outlineLevel="0" collapsed="false">
      <c r="A25" s="15" t="s">
        <v>879</v>
      </c>
      <c r="B25" s="18" t="n">
        <v>790</v>
      </c>
      <c r="C25" s="15" t="s">
        <v>875</v>
      </c>
    </row>
    <row r="26" customFormat="false" ht="15" hidden="false" customHeight="false" outlineLevel="0" collapsed="false">
      <c r="A26" s="15" t="s">
        <v>880</v>
      </c>
      <c r="B26" s="18" t="n">
        <v>320</v>
      </c>
      <c r="C26" s="15" t="s">
        <v>875</v>
      </c>
    </row>
    <row r="27" customFormat="false" ht="15" hidden="false" customHeight="false" outlineLevel="0" collapsed="false">
      <c r="A27" s="15" t="s">
        <v>881</v>
      </c>
      <c r="B27" s="18" t="n">
        <v>700</v>
      </c>
      <c r="C27" s="15" t="s">
        <v>875</v>
      </c>
    </row>
    <row r="28" customFormat="false" ht="15" hidden="false" customHeight="false" outlineLevel="0" collapsed="false">
      <c r="A28" s="15" t="s">
        <v>882</v>
      </c>
      <c r="B28" s="18" t="n">
        <v>790</v>
      </c>
      <c r="C28" s="15" t="s">
        <v>883</v>
      </c>
    </row>
    <row r="29" customFormat="false" ht="15" hidden="false" customHeight="false" outlineLevel="0" collapsed="false">
      <c r="A29" s="15" t="s">
        <v>884</v>
      </c>
      <c r="B29" s="18" t="n">
        <v>790</v>
      </c>
      <c r="C29" s="15" t="s">
        <v>883</v>
      </c>
    </row>
    <row r="30" customFormat="false" ht="15" hidden="false" customHeight="false" outlineLevel="0" collapsed="false">
      <c r="A30" s="19" t="s">
        <v>885</v>
      </c>
    </row>
    <row r="32" customFormat="false" ht="15" hidden="false" customHeight="false" outlineLevel="0" collapsed="false">
      <c r="A32" s="4" t="s">
        <v>886</v>
      </c>
    </row>
    <row r="33" customFormat="false" ht="15" hidden="false" customHeight="false" outlineLevel="0" collapsed="false">
      <c r="A33" s="5" t="s">
        <v>887</v>
      </c>
      <c r="B33" s="5" t="s">
        <v>888</v>
      </c>
      <c r="C33" s="5" t="s">
        <v>889</v>
      </c>
    </row>
    <row r="34" customFormat="false" ht="15" hidden="false" customHeight="false" outlineLevel="0" collapsed="false">
      <c r="A34" s="15" t="s">
        <v>890</v>
      </c>
      <c r="B34" s="20" t="n">
        <f aca="false">B21+B22</f>
        <v>1180</v>
      </c>
      <c r="C34" s="15" t="s">
        <v>891</v>
      </c>
    </row>
    <row r="35" customFormat="false" ht="15" hidden="false" customHeight="false" outlineLevel="0" collapsed="false">
      <c r="A35" s="15" t="s">
        <v>892</v>
      </c>
      <c r="B35" s="20" t="n">
        <f aca="false">B21*2</f>
        <v>720</v>
      </c>
      <c r="C35" s="15" t="s">
        <v>393</v>
      </c>
    </row>
    <row r="36" customFormat="false" ht="15" hidden="false" customHeight="false" outlineLevel="0" collapsed="false">
      <c r="A36" s="15" t="s">
        <v>893</v>
      </c>
      <c r="B36" s="20" t="n">
        <f aca="false">B21*2+B22</f>
        <v>1540</v>
      </c>
      <c r="C36" s="15" t="s">
        <v>399</v>
      </c>
    </row>
    <row r="37" customFormat="false" ht="15" hidden="false" customHeight="false" outlineLevel="0" collapsed="false">
      <c r="A37" s="15" t="s">
        <v>894</v>
      </c>
      <c r="B37" s="20" t="n">
        <f aca="false">B23*3</f>
        <v>1950</v>
      </c>
      <c r="C37" s="15" t="s">
        <v>406</v>
      </c>
    </row>
    <row r="38" customFormat="false" ht="15" hidden="false" customHeight="false" outlineLevel="0" collapsed="false">
      <c r="A38" s="15" t="s">
        <v>895</v>
      </c>
      <c r="B38" s="20" t="n">
        <f aca="false">SUM(B21:B29)+B21</f>
        <v>6380</v>
      </c>
      <c r="C38" s="15" t="s">
        <v>439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2026-10-20T05:06:29Z</dcterms:created>
  <dc:creator>Wong Si Yi</dc:creator>
  <dc:description/>
  <dc:language>en-US</dc:language>
  <cp:lastModifiedBy/>
  <dcterms:modified xsi:type="dcterms:W3CDTF">2026-10-20T05:06:29Z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